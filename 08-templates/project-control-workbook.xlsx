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en Items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Media Inventory" sheetId="5" state="visible" r:id="rId5"/>
    <sheet xmlns:r="http://schemas.openxmlformats.org/officeDocument/2006/relationships" name="Content Approvals" sheetId="6" state="visible" r:id="rId6"/>
    <sheet xmlns:r="http://schemas.openxmlformats.org/officeDocument/2006/relationships" name="Risks" sheetId="7" state="visible" r:id="rId7"/>
    <sheet xmlns:r="http://schemas.openxmlformats.org/officeDocument/2006/relationships" name="Test Evidence" sheetId="8" state="visible" r:id="rId8"/>
    <sheet xmlns:r="http://schemas.openxmlformats.org/officeDocument/2006/relationships" name="Release Checklist" sheetId="9" state="visible" r:id="rId9"/>
    <sheet xmlns:r="http://schemas.openxmlformats.org/officeDocument/2006/relationships" name="Daily Plan" sheetId="10" state="visible" r:id="rId10"/>
    <sheet xmlns:r="http://schemas.openxmlformats.org/officeDocument/2006/relationships" name="Decision Log" sheetId="11" state="visible" r:id="rId11"/>
    <sheet xmlns:r="http://schemas.openxmlformats.org/officeDocument/2006/relationships" name="References" sheetId="12" state="visible" r:id="rId12"/>
  </sheets>
  <definedNames>
    <definedName name="_xlnm._FilterDatabase" localSheetId="0" hidden="1">'Dashboard'!$A$1:$H$16</definedName>
    <definedName name="_xlnm._FilterDatabase" localSheetId="1" hidden="1">'Open Items'!$A$1:$H$11</definedName>
    <definedName name="_xlnm._FilterDatabase" localSheetId="2" hidden="1">'Backlog'!$A$1:$I$21</definedName>
    <definedName name="_xlnm._FilterDatabase" localSheetId="3" hidden="1">'Requirements'!$A$1:$I$33</definedName>
    <definedName name="_xlnm._FilterDatabase" localSheetId="4" hidden="1">'Media Inventory'!$A$1:$U$5</definedName>
    <definedName name="_xlnm._FilterDatabase" localSheetId="5" hidden="1">'Content Approvals'!$A$1:$J$9</definedName>
    <definedName name="_xlnm._FilterDatabase" localSheetId="6" hidden="1">'Risks'!$A$1:$K$13</definedName>
    <definedName name="_xlnm._FilterDatabase" localSheetId="8" hidden="1">'Release Checklist'!$A$1:$F$13</definedName>
    <definedName name="_xlnm._FilterDatabase" localSheetId="9" hidden="1">'Daily Plan'!$A$1:$F$8</definedName>
    <definedName name="_xlnm._FilterDatabase" localSheetId="10" hidden="1">'Decision Log'!$A$1:$I$5</definedName>
    <definedName name="_xlnm._FilterDatabase" localSheetId="11" hidden="1">'References'!$A$1:$D$7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m yyyy"/>
    <numFmt numFmtId="166" formatCode="ddd, dd mmm yyyy"/>
    <numFmt numFmtId="167" formatCode="dd mmm 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405A42"/>
    </font>
    <font>
      <b val="1"/>
      <sz val="14"/>
    </font>
    <font>
      <b val="1"/>
      <color rgb="00FFFFFF"/>
    </font>
    <font>
      <color rgb="002E2E2E"/>
      <sz val="10"/>
    </font>
    <font>
      <name val="Calibri"/>
      <family val="2"/>
      <color theme="10"/>
      <sz val="12"/>
      <scheme val="minor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405A42"/>
      </patternFill>
    </fill>
    <fill>
      <patternFill patternType="solid">
        <fgColor rgb="00F4C27A"/>
      </patternFill>
    </fill>
    <fill>
      <patternFill patternType="solid">
        <fgColor rgb="00CFE8E8"/>
      </patternFill>
    </fill>
    <fill>
      <patternFill patternType="solid">
        <fgColor rgb="00D9EA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6" borderId="0" pivotButton="0" quotePrefix="0" xfId="0"/>
    <xf numFmtId="165" fontId="0" fillId="6" borderId="0" pivotButton="0" quotePrefix="0" xfId="0"/>
    <xf numFmtId="0" fontId="7" fillId="4" borderId="0" pivotButton="0" quotePrefix="0" xfId="0"/>
    <xf numFmtId="0" fontId="0" fillId="3" borderId="0" pivotButton="0" quotePrefix="0" xfId="0"/>
    <xf numFmtId="0" fontId="4" fillId="2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6" fontId="5" fillId="6" borderId="0" applyAlignment="1" pivotButton="0" quotePrefix="0" xfId="0">
      <alignment vertical="top" wrapText="1"/>
    </xf>
    <xf numFmtId="167" fontId="5" fillId="6" borderId="0" applyAlignment="1" pivotButton="0" quotePrefix="0" xfId="0">
      <alignment vertical="top" wrapText="1"/>
    </xf>
    <xf numFmtId="0" fontId="5" fillId="6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nextjs.org/blog" TargetMode="External" Id="rId1"/><Relationship Type="http://schemas.openxmlformats.org/officeDocument/2006/relationships/hyperlink" Target="https://react.dev/versions" TargetMode="External" Id="rId2"/><Relationship Type="http://schemas.openxmlformats.org/officeDocument/2006/relationships/hyperlink" Target="https://nodejs.org/en/about/previous-releases" TargetMode="External" Id="rId3"/><Relationship Type="http://schemas.openxmlformats.org/officeDocument/2006/relationships/hyperlink" Target="https://tailwindcss.com/blog" TargetMode="External" Id="rId4"/><Relationship Type="http://schemas.openxmlformats.org/officeDocument/2006/relationships/hyperlink" Target="https://www.w3.org/TR/WCAG22/" TargetMode="External" Id="rId5"/><Relationship Type="http://schemas.openxmlformats.org/officeDocument/2006/relationships/hyperlink" Target="https://vercel.com/docs/security/deployment-protection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52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Our Story - Project Control Dashboard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Target birthday</t>
        </is>
      </c>
      <c r="B4" s="4" t="n">
        <v>46242</v>
      </c>
      <c r="C4" s="2" t="n"/>
      <c r="D4" s="3" t="inlineStr">
        <is>
          <t>Open items</t>
        </is>
      </c>
      <c r="E4" s="5">
        <f>COUNTIF('Open Items'!D:D,"Open")</f>
        <v/>
      </c>
      <c r="F4" s="2" t="n"/>
      <c r="G4" s="2" t="n"/>
      <c r="H4" s="2" t="n"/>
    </row>
    <row r="5">
      <c r="A5" s="3" t="inlineStr">
        <is>
          <t>P0 scope freeze</t>
        </is>
      </c>
      <c r="B5" s="2" t="inlineStr">
        <is>
          <t>6 August 2026 18:00 IST</t>
        </is>
      </c>
      <c r="C5" s="2" t="n"/>
      <c r="D5" s="3" t="inlineStr">
        <is>
          <t>P0 backlog total</t>
        </is>
      </c>
      <c r="E5" s="5">
        <f>COUNTIF(Backlog!C:C,"P0")</f>
        <v/>
      </c>
      <c r="F5" s="2" t="n"/>
      <c r="G5" s="2" t="n"/>
      <c r="H5" s="2" t="n"/>
    </row>
    <row r="6">
      <c r="A6" s="3" t="inlineStr">
        <is>
          <t>Primary device</t>
        </is>
      </c>
      <c r="B6" s="2" t="inlineStr">
        <is>
          <t>Mobile phone - portrait</t>
        </is>
      </c>
      <c r="C6" s="2" t="n"/>
      <c r="D6" s="3" t="inlineStr">
        <is>
          <t>P0 backlog done</t>
        </is>
      </c>
      <c r="E6" s="5">
        <f>COUNTIFS(Backlog!C:C,"P0",Backlog!F:F,"Done")</f>
        <v/>
      </c>
      <c r="F6" s="2" t="n"/>
      <c r="G6" s="2" t="n"/>
      <c r="H6" s="2" t="n"/>
    </row>
    <row r="7">
      <c r="A7" s="3" t="inlineStr">
        <is>
          <t>Current release status</t>
        </is>
      </c>
      <c r="B7" s="6" t="inlineStr">
        <is>
          <t>Planning / content intake</t>
        </is>
      </c>
      <c r="C7" s="2" t="n"/>
      <c r="D7" s="3" t="inlineStr">
        <is>
          <t>Release blockers</t>
        </is>
      </c>
      <c r="E7" s="5">
        <f>COUNTIF('Release Checklist'!D:D,"Blocked")</f>
        <v/>
      </c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 ht="32" customHeight="1">
      <c r="A10" s="7" t="inlineStr">
        <is>
          <t>Release gate</t>
        </is>
      </c>
      <c r="B10" s="7" t="inlineStr">
        <is>
          <t>Owner</t>
        </is>
      </c>
      <c r="C10" s="7" t="inlineStr">
        <is>
          <t>Status</t>
        </is>
      </c>
      <c r="D10" s="7" t="inlineStr">
        <is>
          <t>Evidence / notes</t>
        </is>
      </c>
      <c r="E10" s="7" t="n"/>
      <c r="F10" s="7" t="n"/>
      <c r="G10" s="7" t="n"/>
      <c r="H10" s="7" t="n"/>
    </row>
    <row r="11">
      <c r="A11" s="8" t="inlineStr">
        <is>
          <t>Content approval</t>
        </is>
      </c>
      <c r="B11" s="8" t="inlineStr">
        <is>
          <t>Client / Project Owner</t>
        </is>
      </c>
      <c r="C11" s="8" t="inlineStr">
        <is>
          <t>Not Started</t>
        </is>
      </c>
      <c r="D11" s="8" t="inlineStr"/>
      <c r="E11" s="8" t="n"/>
      <c r="F11" s="8" t="n"/>
      <c r="G11" s="8" t="n"/>
      <c r="H11" s="8" t="n"/>
    </row>
    <row r="12">
      <c r="A12" s="8" t="inlineStr">
        <is>
          <t>Engineering P0</t>
        </is>
      </c>
      <c r="B12" s="8" t="inlineStr">
        <is>
          <t>Orchestrator</t>
        </is>
      </c>
      <c r="C12" s="8" t="inlineStr">
        <is>
          <t>Not Started</t>
        </is>
      </c>
      <c r="D12" s="8" t="inlineStr"/>
      <c r="E12" s="8" t="n"/>
      <c r="F12" s="8" t="n"/>
      <c r="G12" s="8" t="n"/>
      <c r="H12" s="8" t="n"/>
    </row>
    <row r="13">
      <c r="A13" s="8" t="inlineStr">
        <is>
          <t>Privacy/security</t>
        </is>
      </c>
      <c r="B13" s="8" t="inlineStr">
        <is>
          <t>Security Reviewer</t>
        </is>
      </c>
      <c r="C13" s="8" t="inlineStr">
        <is>
          <t>Not Started</t>
        </is>
      </c>
      <c r="D13" s="8" t="inlineStr"/>
      <c r="E13" s="8" t="n"/>
      <c r="F13" s="8" t="n"/>
      <c r="G13" s="8" t="n"/>
      <c r="H13" s="8" t="n"/>
    </row>
    <row r="14">
      <c r="A14" s="8" t="inlineStr">
        <is>
          <t>Real-device UAT</t>
        </is>
      </c>
      <c r="B14" s="8" t="inlineStr">
        <is>
          <t>QA / Client</t>
        </is>
      </c>
      <c r="C14" s="8" t="inlineStr">
        <is>
          <t>Not Started</t>
        </is>
      </c>
      <c r="D14" s="8" t="inlineStr"/>
      <c r="E14" s="8" t="n"/>
      <c r="F14" s="8" t="n"/>
      <c r="G14" s="8" t="n"/>
      <c r="H14" s="8" t="n"/>
    </row>
    <row r="15">
      <c r="A15" s="8" t="inlineStr">
        <is>
          <t>Production verification</t>
        </is>
      </c>
      <c r="B15" s="8" t="inlineStr">
        <is>
          <t>Release Owner</t>
        </is>
      </c>
      <c r="C15" s="8" t="inlineStr">
        <is>
          <t>Not Started</t>
        </is>
      </c>
      <c r="D15" s="8" t="inlineStr"/>
      <c r="E15" s="8" t="n"/>
      <c r="F15" s="8" t="n"/>
      <c r="G15" s="8" t="n"/>
      <c r="H15" s="8" t="n"/>
    </row>
    <row r="16">
      <c r="A16" s="8" t="inlineStr">
        <is>
          <t>Retirement scheduled</t>
        </is>
      </c>
      <c r="B16" s="8" t="inlineStr">
        <is>
          <t>Project Owner</t>
        </is>
      </c>
      <c r="C16" s="8" t="inlineStr">
        <is>
          <t>Not Started</t>
        </is>
      </c>
      <c r="D16" s="8" t="inlineStr"/>
      <c r="E16" s="8" t="n"/>
      <c r="F16" s="8" t="n"/>
      <c r="G16" s="8" t="n"/>
      <c r="H16" s="8" t="n"/>
    </row>
  </sheetData>
  <autoFilter ref="A1:H16"/>
  <mergeCells count="1">
    <mergeCell ref="A1:H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2" customWidth="1" min="3" max="3"/>
    <col width="16" customWidth="1" min="4" max="4"/>
    <col width="14" customWidth="1" min="5" max="5"/>
    <col width="45" customWidth="1" min="6" max="6"/>
    <col width="24" customWidth="1" min="7" max="7"/>
    <col width="36" customWidth="1" min="8" max="8"/>
  </cols>
  <sheetData>
    <row r="1" ht="32" customHeight="1">
      <c r="A1" s="7" t="inlineStr">
        <is>
          <t>ID</t>
        </is>
      </c>
      <c r="B1" s="7" t="inlineStr">
        <is>
          <t>Item</t>
        </is>
      </c>
      <c r="C1" s="7" t="inlineStr">
        <is>
          <t>Owner</t>
        </is>
      </c>
      <c r="D1" s="7" t="inlineStr">
        <is>
          <t>Status</t>
        </is>
      </c>
      <c r="E1" s="7" t="inlineStr">
        <is>
          <t>Due Date</t>
        </is>
      </c>
      <c r="F1" s="7" t="inlineStr">
        <is>
          <t>Decision / Answer</t>
        </is>
      </c>
      <c r="G1" s="7" t="inlineStr">
        <is>
          <t>Affected Requirement IDs</t>
        </is>
      </c>
      <c r="H1" s="7" t="inlineStr">
        <is>
          <t>Notes</t>
        </is>
      </c>
    </row>
    <row r="2">
      <c r="A2" s="8" t="inlineStr">
        <is>
          <t>OI-01</t>
        </is>
      </c>
      <c r="B2" s="8" t="inlineStr">
        <is>
          <t>Recipient name, exact spelling, nickname, and preferred salutation</t>
        </is>
      </c>
      <c r="C2" s="8" t="inlineStr">
        <is>
          <t>Client / Project Owner</t>
        </is>
      </c>
      <c r="D2" s="9" t="inlineStr">
        <is>
          <t>Open</t>
        </is>
      </c>
      <c r="E2" s="8" t="inlineStr"/>
      <c r="F2" s="10" t="inlineStr"/>
      <c r="G2" s="8" t="inlineStr"/>
      <c r="H2" s="8" t="inlineStr"/>
    </row>
    <row r="3">
      <c r="A3" s="8" t="inlineStr">
        <is>
          <t>OI-02</t>
        </is>
      </c>
      <c r="B3" s="8" t="inlineStr">
        <is>
          <t>Sender name, nickname, and final signature</t>
        </is>
      </c>
      <c r="C3" s="8" t="inlineStr">
        <is>
          <t>Client / Project Owner</t>
        </is>
      </c>
      <c r="D3" s="9" t="inlineStr">
        <is>
          <t>Open</t>
        </is>
      </c>
      <c r="E3" s="8" t="inlineStr"/>
      <c r="F3" s="10" t="inlineStr"/>
      <c r="G3" s="8" t="inlineStr"/>
      <c r="H3" s="8" t="inlineStr"/>
    </row>
    <row r="4">
      <c r="A4" s="8" t="inlineStr">
        <is>
          <t>OI-03</t>
        </is>
      </c>
      <c r="B4" s="8" t="inlineStr">
        <is>
          <t>Domain/subdomain and launch URL</t>
        </is>
      </c>
      <c r="C4" s="8" t="inlineStr">
        <is>
          <t>Client / Project Owner</t>
        </is>
      </c>
      <c r="D4" s="9" t="inlineStr">
        <is>
          <t>Open</t>
        </is>
      </c>
      <c r="E4" s="8" t="inlineStr"/>
      <c r="F4" s="10" t="inlineStr"/>
      <c r="G4" s="8" t="inlineStr"/>
      <c r="H4" s="8" t="inlineStr"/>
    </row>
    <row r="5">
      <c r="A5" s="8" t="inlineStr">
        <is>
          <t>OI-04</t>
        </is>
      </c>
      <c r="B5" s="8" t="inlineStr">
        <is>
          <t>Final access policy: private link, passphrase, or managed protection</t>
        </is>
      </c>
      <c r="C5" s="8" t="inlineStr">
        <is>
          <t>Client / Project Owner</t>
        </is>
      </c>
      <c r="D5" s="9" t="inlineStr">
        <is>
          <t>Open</t>
        </is>
      </c>
      <c r="E5" s="8" t="inlineStr"/>
      <c r="F5" s="10" t="inlineStr"/>
      <c r="G5" s="8" t="inlineStr"/>
      <c r="H5" s="8" t="inlineStr"/>
    </row>
    <row r="6">
      <c r="A6" s="8" t="inlineStr">
        <is>
          <t>OI-05</t>
        </is>
      </c>
      <c r="B6" s="8" t="inlineStr">
        <is>
          <t>Final birthday letter and exact on-screen copy approvals</t>
        </is>
      </c>
      <c r="C6" s="8" t="inlineStr">
        <is>
          <t>Client / Project Owner</t>
        </is>
      </c>
      <c r="D6" s="9" t="inlineStr">
        <is>
          <t>Open</t>
        </is>
      </c>
      <c r="E6" s="8" t="inlineStr"/>
      <c r="F6" s="10" t="inlineStr"/>
      <c r="G6" s="8" t="inlineStr"/>
      <c r="H6" s="8" t="inlineStr"/>
    </row>
    <row r="7">
      <c r="A7" s="8" t="inlineStr">
        <is>
          <t>OI-06</t>
        </is>
      </c>
      <c r="B7" s="8" t="inlineStr">
        <is>
          <t>Final media files, chronology, captions, and consent/rights confirmation</t>
        </is>
      </c>
      <c r="C7" s="8" t="inlineStr">
        <is>
          <t>Client / Project Owner</t>
        </is>
      </c>
      <c r="D7" s="9" t="inlineStr">
        <is>
          <t>Open</t>
        </is>
      </c>
      <c r="E7" s="8" t="inlineStr"/>
      <c r="F7" s="10" t="inlineStr"/>
      <c r="G7" s="8" t="inlineStr"/>
      <c r="H7" s="8" t="inlineStr"/>
    </row>
    <row r="8">
      <c r="A8" s="8" t="inlineStr">
        <is>
          <t>OI-07</t>
        </is>
      </c>
      <c r="B8" s="8" t="inlineStr">
        <is>
          <t>Voice-note file and approved transcript/caption</t>
        </is>
      </c>
      <c r="C8" s="8" t="inlineStr">
        <is>
          <t>Client / Project Owner</t>
        </is>
      </c>
      <c r="D8" s="9" t="inlineStr">
        <is>
          <t>Open</t>
        </is>
      </c>
      <c r="E8" s="8" t="inlineStr"/>
      <c r="F8" s="10" t="inlineStr"/>
      <c r="G8" s="8" t="inlineStr"/>
      <c r="H8" s="8" t="inlineStr"/>
    </row>
    <row r="9">
      <c r="A9" s="8" t="inlineStr">
        <is>
          <t>OI-08</t>
        </is>
      </c>
      <c r="B9" s="8" t="inlineStr">
        <is>
          <t>Background music selection and evidence of usage rights</t>
        </is>
      </c>
      <c r="C9" s="8" t="inlineStr">
        <is>
          <t>Client / Project Owner</t>
        </is>
      </c>
      <c r="D9" s="9" t="inlineStr">
        <is>
          <t>Open</t>
        </is>
      </c>
      <c r="E9" s="8" t="inlineStr"/>
      <c r="F9" s="10" t="inlineStr"/>
      <c r="G9" s="8" t="inlineStr"/>
      <c r="H9" s="8" t="inlineStr"/>
    </row>
    <row r="10">
      <c r="A10" s="8" t="inlineStr">
        <is>
          <t>OI-09</t>
        </is>
      </c>
      <c r="B10" s="8" t="inlineStr">
        <is>
          <t>Exact list of reasons, memories, inside jokes, and future dreams</t>
        </is>
      </c>
      <c r="C10" s="8" t="inlineStr">
        <is>
          <t>Client / Project Owner</t>
        </is>
      </c>
      <c r="D10" s="9" t="inlineStr">
        <is>
          <t>Open</t>
        </is>
      </c>
      <c r="E10" s="8" t="inlineStr"/>
      <c r="F10" s="10" t="inlineStr"/>
      <c r="G10" s="8" t="inlineStr"/>
      <c r="H10" s="8" t="inlineStr"/>
    </row>
    <row r="11">
      <c r="A11" s="8" t="inlineStr">
        <is>
          <t>OI-10</t>
        </is>
      </c>
      <c r="B11" s="8" t="inlineStr">
        <is>
          <t>Whether content may remain online after the birthday and deletion date</t>
        </is>
      </c>
      <c r="C11" s="8" t="inlineStr">
        <is>
          <t>Client / Project Owner</t>
        </is>
      </c>
      <c r="D11" s="9" t="inlineStr">
        <is>
          <t>Open</t>
        </is>
      </c>
      <c r="E11" s="8" t="inlineStr"/>
      <c r="F11" s="10" t="inlineStr"/>
      <c r="G11" s="8" t="inlineStr"/>
      <c r="H11" s="8" t="inlineStr"/>
    </row>
  </sheetData>
  <autoFilter ref="A1:H11"/>
  <dataValidations count="1">
    <dataValidation sqref="D2:D111" showDropDown="0" showInputMessage="0" showErrorMessage="0" allowBlank="0" type="list">
      <formula1>"Open,In Review,Resolved,Deferred"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0" customWidth="1" min="3" max="3"/>
    <col width="22" customWidth="1" min="4" max="4"/>
    <col width="24" customWidth="1" min="5" max="5"/>
    <col width="16" customWidth="1" min="6" max="6"/>
    <col width="24" customWidth="1" min="7" max="7"/>
    <col width="14" customWidth="1" min="8" max="8"/>
    <col width="45" customWidth="1" min="9" max="9"/>
  </cols>
  <sheetData>
    <row r="1" ht="32" customHeight="1">
      <c r="A1" s="7" t="inlineStr">
        <is>
          <t>Task ID</t>
        </is>
      </c>
      <c r="B1" s="7" t="inlineStr">
        <is>
          <t>Title</t>
        </is>
      </c>
      <c r="C1" s="7" t="inlineStr">
        <is>
          <t>Priority</t>
        </is>
      </c>
      <c r="D1" s="7" t="inlineStr">
        <is>
          <t>Owner Role</t>
        </is>
      </c>
      <c r="E1" s="7" t="inlineStr">
        <is>
          <t>Dependencies</t>
        </is>
      </c>
      <c r="F1" s="7" t="inlineStr">
        <is>
          <t>Status</t>
        </is>
      </c>
      <c r="G1" s="7" t="inlineStr">
        <is>
          <t>Requirement IDs</t>
        </is>
      </c>
      <c r="H1" s="7" t="inlineStr">
        <is>
          <t>Target Date</t>
        </is>
      </c>
      <c r="I1" s="7" t="inlineStr">
        <is>
          <t>Evidence / Handoff</t>
        </is>
      </c>
    </row>
    <row r="2">
      <c r="A2" s="8" t="inlineStr">
        <is>
          <t>GOV-001</t>
        </is>
      </c>
      <c r="B2" s="8" t="inlineStr">
        <is>
          <t>Initialize private repository, CI, branch protection, ignored private paths</t>
        </is>
      </c>
      <c r="C2" s="8" t="inlineStr">
        <is>
          <t>P0</t>
        </is>
      </c>
      <c r="D2" s="8" t="inlineStr">
        <is>
          <t>Orchestrator</t>
        </is>
      </c>
      <c r="E2" s="8" t="inlineStr">
        <is>
          <t>-</t>
        </is>
      </c>
      <c r="F2" s="9" t="inlineStr">
        <is>
          <t>Not Started</t>
        </is>
      </c>
      <c r="G2" s="8" t="inlineStr"/>
      <c r="H2" s="10" t="inlineStr"/>
      <c r="I2" s="10" t="inlineStr"/>
    </row>
    <row r="3">
      <c r="A3" s="8" t="inlineStr">
        <is>
          <t>ARCH-001</t>
        </is>
      </c>
      <c r="B3" s="8" t="inlineStr">
        <is>
          <t>Implement typed content schema and build validation</t>
        </is>
      </c>
      <c r="C3" s="8" t="inlineStr">
        <is>
          <t>P0</t>
        </is>
      </c>
      <c r="D3" s="8" t="inlineStr">
        <is>
          <t>Frontend Platform</t>
        </is>
      </c>
      <c r="E3" s="8" t="inlineStr">
        <is>
          <t>GOV-001</t>
        </is>
      </c>
      <c r="F3" s="9" t="inlineStr">
        <is>
          <t>Not Started</t>
        </is>
      </c>
      <c r="G3" s="8" t="inlineStr"/>
      <c r="H3" s="10" t="inlineStr"/>
      <c r="I3" s="10" t="inlineStr"/>
    </row>
    <row r="4">
      <c r="A4" s="8" t="inlineStr">
        <is>
          <t>ARCH-002</t>
        </is>
      </c>
      <c r="B4" s="8" t="inlineStr">
        <is>
          <t>Implement story reducer and transition tests</t>
        </is>
      </c>
      <c r="C4" s="8" t="inlineStr">
        <is>
          <t>P0</t>
        </is>
      </c>
      <c r="D4" s="8" t="inlineStr">
        <is>
          <t>Frontend Platform</t>
        </is>
      </c>
      <c r="E4" s="8" t="inlineStr">
        <is>
          <t>GOV-001</t>
        </is>
      </c>
      <c r="F4" s="9" t="inlineStr">
        <is>
          <t>Not Started</t>
        </is>
      </c>
      <c r="G4" s="8" t="inlineStr"/>
      <c r="H4" s="10" t="inlineStr"/>
      <c r="I4" s="10" t="inlineStr"/>
    </row>
    <row r="5">
      <c r="A5" s="8" t="inlineStr">
        <is>
          <t>SEC-001</t>
        </is>
      </c>
      <c r="B5" s="8" t="inlineStr">
        <is>
          <t>Select and implement server-side access model</t>
        </is>
      </c>
      <c r="C5" s="8" t="inlineStr">
        <is>
          <t>P0</t>
        </is>
      </c>
      <c r="D5" s="8" t="inlineStr">
        <is>
          <t>Security</t>
        </is>
      </c>
      <c r="E5" s="8" t="inlineStr">
        <is>
          <t>GOV-001</t>
        </is>
      </c>
      <c r="F5" s="9" t="inlineStr">
        <is>
          <t>Not Started</t>
        </is>
      </c>
      <c r="G5" s="8" t="inlineStr"/>
      <c r="H5" s="10" t="inlineStr"/>
      <c r="I5" s="10" t="inlineStr"/>
    </row>
    <row r="6">
      <c r="A6" s="8" t="inlineStr">
        <is>
          <t>MEDIA-001</t>
        </is>
      </c>
      <c r="B6" s="8" t="inlineStr">
        <is>
          <t>Create inventory and derivative pipeline</t>
        </is>
      </c>
      <c r="C6" s="8" t="inlineStr">
        <is>
          <t>P0</t>
        </is>
      </c>
      <c r="D6" s="8" t="inlineStr">
        <is>
          <t>Media</t>
        </is>
      </c>
      <c r="E6" s="8" t="inlineStr">
        <is>
          <t>ARCH-001</t>
        </is>
      </c>
      <c r="F6" s="9" t="inlineStr">
        <is>
          <t>Not Started</t>
        </is>
      </c>
      <c r="G6" s="8" t="inlineStr"/>
      <c r="H6" s="10" t="inlineStr"/>
      <c r="I6" s="10" t="inlineStr"/>
    </row>
    <row r="7">
      <c r="A7" s="8" t="inlineStr">
        <is>
          <t>AUDIO-001</t>
        </is>
      </c>
      <c r="B7" s="8" t="inlineStr">
        <is>
          <t>Implement global media coordinator</t>
        </is>
      </c>
      <c r="C7" s="8" t="inlineStr">
        <is>
          <t>P0</t>
        </is>
      </c>
      <c r="D7" s="8" t="inlineStr">
        <is>
          <t>Frontend Platform</t>
        </is>
      </c>
      <c r="E7" s="8" t="inlineStr">
        <is>
          <t>GOV-001</t>
        </is>
      </c>
      <c r="F7" s="9" t="inlineStr">
        <is>
          <t>Not Started</t>
        </is>
      </c>
      <c r="G7" s="8" t="inlineStr"/>
      <c r="H7" s="10" t="inlineStr"/>
      <c r="I7" s="10" t="inlineStr"/>
    </row>
    <row r="8">
      <c r="A8" s="8" t="inlineStr">
        <is>
          <t>UX-001</t>
        </is>
      </c>
      <c r="B8" s="8" t="inlineStr">
        <is>
          <t>Implement tokens, shell, safe areas, primitives</t>
        </is>
      </c>
      <c r="C8" s="8" t="inlineStr">
        <is>
          <t>P0</t>
        </is>
      </c>
      <c r="D8" s="8" t="inlineStr">
        <is>
          <t>UX/Frontend</t>
        </is>
      </c>
      <c r="E8" s="8" t="inlineStr">
        <is>
          <t>GOV-001</t>
        </is>
      </c>
      <c r="F8" s="9" t="inlineStr">
        <is>
          <t>Not Started</t>
        </is>
      </c>
      <c r="G8" s="8" t="inlineStr"/>
      <c r="H8" s="10" t="inlineStr"/>
      <c r="I8" s="10" t="inlineStr"/>
    </row>
    <row r="9">
      <c r="A9" s="8" t="inlineStr">
        <is>
          <t>FEAT-001</t>
        </is>
      </c>
      <c r="B9" s="8" t="inlineStr">
        <is>
          <t>Start, welcome, birthday state</t>
        </is>
      </c>
      <c r="C9" s="8" t="inlineStr">
        <is>
          <t>P0</t>
        </is>
      </c>
      <c r="D9" s="8" t="inlineStr">
        <is>
          <t>Feature</t>
        </is>
      </c>
      <c r="E9" s="8" t="inlineStr">
        <is>
          <t>ARCH-002,UX-001,AUDIO-001</t>
        </is>
      </c>
      <c r="F9" s="9" t="inlineStr">
        <is>
          <t>Not Started</t>
        </is>
      </c>
      <c r="G9" s="8" t="inlineStr"/>
      <c r="H9" s="10" t="inlineStr"/>
      <c r="I9" s="10" t="inlineStr"/>
    </row>
    <row r="10">
      <c r="A10" s="8" t="inlineStr">
        <is>
          <t>FEAT-002</t>
        </is>
      </c>
      <c r="B10" s="8" t="inlineStr">
        <is>
          <t>Timeline/story chapters</t>
        </is>
      </c>
      <c r="C10" s="8" t="inlineStr">
        <is>
          <t>P0</t>
        </is>
      </c>
      <c r="D10" s="8" t="inlineStr">
        <is>
          <t>Feature</t>
        </is>
      </c>
      <c r="E10" s="8" t="inlineStr">
        <is>
          <t>ARCH-001,ARCH-002,UX-001</t>
        </is>
      </c>
      <c r="F10" s="9" t="inlineStr">
        <is>
          <t>Not Started</t>
        </is>
      </c>
      <c r="G10" s="8" t="inlineStr"/>
      <c r="H10" s="10" t="inlineStr"/>
      <c r="I10" s="10" t="inlineStr"/>
    </row>
    <row r="11">
      <c r="A11" s="8" t="inlineStr">
        <is>
          <t>FEAT-003</t>
        </is>
      </c>
      <c r="B11" s="8" t="inlineStr">
        <is>
          <t>Gallery and viewer</t>
        </is>
      </c>
      <c r="C11" s="8" t="inlineStr">
        <is>
          <t>P0</t>
        </is>
      </c>
      <c r="D11" s="8" t="inlineStr">
        <is>
          <t>Feature</t>
        </is>
      </c>
      <c r="E11" s="8" t="inlineStr">
        <is>
          <t>MEDIA-001,UX-001</t>
        </is>
      </c>
      <c r="F11" s="9" t="inlineStr">
        <is>
          <t>Not Started</t>
        </is>
      </c>
      <c r="G11" s="8" t="inlineStr"/>
      <c r="H11" s="10" t="inlineStr"/>
      <c r="I11" s="10" t="inlineStr"/>
    </row>
    <row r="12">
      <c r="A12" s="8" t="inlineStr">
        <is>
          <t>FEAT-004</t>
        </is>
      </c>
      <c r="B12" s="8" t="inlineStr">
        <is>
          <t>Video and voice players</t>
        </is>
      </c>
      <c r="C12" s="8" t="inlineStr">
        <is>
          <t>P0</t>
        </is>
      </c>
      <c r="D12" s="8" t="inlineStr">
        <is>
          <t>Feature</t>
        </is>
      </c>
      <c r="E12" s="8" t="inlineStr">
        <is>
          <t>MEDIA-001,AUDIO-001</t>
        </is>
      </c>
      <c r="F12" s="9" t="inlineStr">
        <is>
          <t>Not Started</t>
        </is>
      </c>
      <c r="G12" s="8" t="inlineStr"/>
      <c r="H12" s="10" t="inlineStr"/>
      <c r="I12" s="10" t="inlineStr"/>
    </row>
    <row r="13">
      <c r="A13" s="8" t="inlineStr">
        <is>
          <t>FEAT-005</t>
        </is>
      </c>
      <c r="B13" s="8" t="inlineStr">
        <is>
          <t>Quiz</t>
        </is>
      </c>
      <c r="C13" s="8" t="inlineStr">
        <is>
          <t>P0</t>
        </is>
      </c>
      <c r="D13" s="8" t="inlineStr">
        <is>
          <t>Feature</t>
        </is>
      </c>
      <c r="E13" s="8" t="inlineStr">
        <is>
          <t>ARCH-001,ARCH-002,UX-001</t>
        </is>
      </c>
      <c r="F13" s="9" t="inlineStr">
        <is>
          <t>Not Started</t>
        </is>
      </c>
      <c r="G13" s="8" t="inlineStr"/>
      <c r="H13" s="10" t="inlineStr"/>
      <c r="I13" s="10" t="inlineStr"/>
    </row>
    <row r="14">
      <c r="A14" s="8" t="inlineStr">
        <is>
          <t>FEAT-006</t>
        </is>
      </c>
      <c r="B14" s="8" t="inlineStr">
        <is>
          <t>Letter and finale</t>
        </is>
      </c>
      <c r="C14" s="8" t="inlineStr">
        <is>
          <t>P0</t>
        </is>
      </c>
      <c r="D14" s="8" t="inlineStr">
        <is>
          <t>Feature</t>
        </is>
      </c>
      <c r="E14" s="8" t="inlineStr">
        <is>
          <t>ARCH-001,ARCH-002,UX-001</t>
        </is>
      </c>
      <c r="F14" s="9" t="inlineStr">
        <is>
          <t>Not Started</t>
        </is>
      </c>
      <c r="G14" s="8" t="inlineStr"/>
      <c r="H14" s="10" t="inlineStr"/>
      <c r="I14" s="10" t="inlineStr"/>
    </row>
    <row r="15">
      <c r="A15" s="8" t="inlineStr">
        <is>
          <t>SEC-002</t>
        </is>
      </c>
      <c r="B15" s="8" t="inlineStr">
        <is>
          <t>Protected media, headers, metadata, direct-URL tests</t>
        </is>
      </c>
      <c r="C15" s="8" t="inlineStr">
        <is>
          <t>P0</t>
        </is>
      </c>
      <c r="D15" s="8" t="inlineStr">
        <is>
          <t>Security</t>
        </is>
      </c>
      <c r="E15" s="8" t="inlineStr">
        <is>
          <t>SEC-001,MEDIA-001</t>
        </is>
      </c>
      <c r="F15" s="9" t="inlineStr">
        <is>
          <t>Not Started</t>
        </is>
      </c>
      <c r="G15" s="8" t="inlineStr"/>
      <c r="H15" s="10" t="inlineStr"/>
      <c r="I15" s="10" t="inlineStr"/>
    </row>
    <row r="16">
      <c r="A16" s="8" t="inlineStr">
        <is>
          <t>QA-001</t>
        </is>
      </c>
      <c r="B16" s="8" t="inlineStr">
        <is>
          <t>Automated P0 E2E and accessibility tests</t>
        </is>
      </c>
      <c r="C16" s="8" t="inlineStr">
        <is>
          <t>P0</t>
        </is>
      </c>
      <c r="D16" s="8" t="inlineStr">
        <is>
          <t>QA</t>
        </is>
      </c>
      <c r="E16" s="8" t="inlineStr">
        <is>
          <t>FEAT-001..006</t>
        </is>
      </c>
      <c r="F16" s="9" t="inlineStr">
        <is>
          <t>Not Started</t>
        </is>
      </c>
      <c r="G16" s="8" t="inlineStr"/>
      <c r="H16" s="10" t="inlineStr"/>
      <c r="I16" s="10" t="inlineStr"/>
    </row>
    <row r="17">
      <c r="A17" s="8" t="inlineStr">
        <is>
          <t>CONTENT-001</t>
        </is>
      </c>
      <c r="B17" s="8" t="inlineStr">
        <is>
          <t>Integrate approved content and media manifest</t>
        </is>
      </c>
      <c r="C17" s="8" t="inlineStr">
        <is>
          <t>P0</t>
        </is>
      </c>
      <c r="D17" s="8" t="inlineStr">
        <is>
          <t>Content/Media</t>
        </is>
      </c>
      <c r="E17" s="8" t="inlineStr">
        <is>
          <t>ARCH-001,MEDIA-001</t>
        </is>
      </c>
      <c r="F17" s="9" t="inlineStr">
        <is>
          <t>Not Started</t>
        </is>
      </c>
      <c r="G17" s="8" t="inlineStr"/>
      <c r="H17" s="10" t="inlineStr"/>
      <c r="I17" s="10" t="inlineStr"/>
    </row>
    <row r="18">
      <c r="A18" s="8" t="inlineStr">
        <is>
          <t>QA-002</t>
        </is>
      </c>
      <c r="B18" s="8" t="inlineStr">
        <is>
          <t>Real-device/UAT/production verification</t>
        </is>
      </c>
      <c r="C18" s="8" t="inlineStr">
        <is>
          <t>P0</t>
        </is>
      </c>
      <c r="D18" s="8" t="inlineStr">
        <is>
          <t>QA/Owner</t>
        </is>
      </c>
      <c r="E18" s="8" t="inlineStr">
        <is>
          <t>CONTENT-001,QA-001,SEC-002</t>
        </is>
      </c>
      <c r="F18" s="9" t="inlineStr">
        <is>
          <t>Not Started</t>
        </is>
      </c>
      <c r="G18" s="8" t="inlineStr"/>
      <c r="H18" s="10" t="inlineStr"/>
      <c r="I18" s="10" t="inlineStr"/>
    </row>
    <row r="19">
      <c r="A19" s="8" t="inlineStr">
        <is>
          <t>REL-001</t>
        </is>
      </c>
      <c r="B19" s="8" t="inlineStr">
        <is>
          <t>Production promotion, DNS, rollback drill</t>
        </is>
      </c>
      <c r="C19" s="8" t="inlineStr">
        <is>
          <t>P0</t>
        </is>
      </c>
      <c r="D19" s="8" t="inlineStr">
        <is>
          <t>Release</t>
        </is>
      </c>
      <c r="E19" s="8" t="inlineStr">
        <is>
          <t>QA-002</t>
        </is>
      </c>
      <c r="F19" s="9" t="inlineStr">
        <is>
          <t>Not Started</t>
        </is>
      </c>
      <c r="G19" s="8" t="inlineStr"/>
      <c r="H19" s="10" t="inlineStr"/>
      <c r="I19" s="10" t="inlineStr"/>
    </row>
    <row r="20">
      <c r="A20" s="8" t="inlineStr">
        <is>
          <t>P1-001</t>
        </is>
      </c>
      <c r="B20" s="8" t="inlineStr">
        <is>
          <t>Memory jar/reasons/future dreams/tap cake</t>
        </is>
      </c>
      <c r="C20" s="8" t="inlineStr">
        <is>
          <t>P1</t>
        </is>
      </c>
      <c r="D20" s="8" t="inlineStr">
        <is>
          <t>Feature</t>
        </is>
      </c>
      <c r="E20" s="8" t="inlineStr">
        <is>
          <t>P0 green</t>
        </is>
      </c>
      <c r="F20" s="9" t="inlineStr">
        <is>
          <t>Not Started</t>
        </is>
      </c>
      <c r="G20" s="8" t="inlineStr"/>
      <c r="H20" s="10" t="inlineStr"/>
      <c r="I20" s="10" t="inlineStr"/>
    </row>
    <row r="21">
      <c r="A21" s="8" t="inlineStr">
        <is>
          <t>RET-001</t>
        </is>
      </c>
      <c r="B21" s="8" t="inlineStr">
        <is>
          <t>Schedule and execute retirement/deletion</t>
        </is>
      </c>
      <c r="C21" s="8" t="inlineStr">
        <is>
          <t>P0</t>
        </is>
      </c>
      <c r="D21" s="8" t="inlineStr">
        <is>
          <t>Owner</t>
        </is>
      </c>
      <c r="E21" s="8" t="inlineStr">
        <is>
          <t>REL-001</t>
        </is>
      </c>
      <c r="F21" s="9" t="inlineStr">
        <is>
          <t>Not Started</t>
        </is>
      </c>
      <c r="G21" s="8" t="inlineStr"/>
      <c r="H21" s="10" t="inlineStr"/>
      <c r="I21" s="10" t="inlineStr"/>
    </row>
  </sheetData>
  <autoFilter ref="A1:I21"/>
  <dataValidations count="1">
    <dataValidation sqref="F2:F221" showDropDown="0" showInputMessage="0" showErrorMessage="0" allowBlank="0" type="list">
      <formula1>"Not Started,Ready,In Progress,Blocked,In Review,Done,Deferred"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0" customWidth="1" min="3" max="3"/>
    <col width="10" customWidth="1" min="4" max="4"/>
    <col width="18" customWidth="1" min="5" max="5"/>
    <col width="20" customWidth="1" min="6" max="6"/>
    <col width="20" customWidth="1" min="7" max="7"/>
    <col width="16" customWidth="1" min="8" max="8"/>
    <col width="42" customWidth="1" min="9" max="9"/>
  </cols>
  <sheetData>
    <row r="1" ht="32" customHeight="1">
      <c r="A1" s="7" t="inlineStr">
        <is>
          <t>Requirement ID</t>
        </is>
      </c>
      <c r="B1" s="7" t="inlineStr">
        <is>
          <t>Type / Area</t>
        </is>
      </c>
      <c r="C1" s="7" t="inlineStr">
        <is>
          <t>Description</t>
        </is>
      </c>
      <c r="D1" s="7" t="inlineStr">
        <is>
          <t>Priority</t>
        </is>
      </c>
      <c r="E1" s="7" t="inlineStr">
        <is>
          <t>UX Screen</t>
        </is>
      </c>
      <c r="F1" s="7" t="inlineStr">
        <is>
          <t>Implementation Task</t>
        </is>
      </c>
      <c r="G1" s="7" t="inlineStr">
        <is>
          <t>Test IDs</t>
        </is>
      </c>
      <c r="H1" s="7" t="inlineStr">
        <is>
          <t>Status</t>
        </is>
      </c>
      <c r="I1" s="7" t="inlineStr">
        <is>
          <t>Evidence</t>
        </is>
      </c>
    </row>
    <row r="2">
      <c r="A2" s="8" t="inlineStr">
        <is>
          <t>FR-001</t>
        </is>
      </c>
      <c r="B2" s="8" t="inlineStr">
        <is>
          <t>Functional - Access</t>
        </is>
      </c>
      <c r="C2" s="8" t="inlineStr">
        <is>
          <t>The system shall deny story content until the configured access rule succeeds.</t>
        </is>
      </c>
      <c r="D2" s="8" t="inlineStr">
        <is>
          <t>P0</t>
        </is>
      </c>
      <c r="E2" s="8" t="inlineStr"/>
      <c r="F2" s="8" t="inlineStr"/>
      <c r="G2" s="8" t="inlineStr"/>
      <c r="H2" s="8" t="inlineStr">
        <is>
          <t>Baseline</t>
        </is>
      </c>
      <c r="I2" s="8" t="inlineStr"/>
    </row>
    <row r="3">
      <c r="A3" s="8" t="inlineStr">
        <is>
          <t>FR-002</t>
        </is>
      </c>
      <c r="B3" s="8" t="inlineStr">
        <is>
          <t>Functional - Narrative lock</t>
        </is>
      </c>
      <c r="C3" s="8" t="inlineStr">
        <is>
          <t>The experience shall accept Switzerland case-insensitively after trim/normalization.</t>
        </is>
      </c>
      <c r="D3" s="8" t="inlineStr">
        <is>
          <t>P0</t>
        </is>
      </c>
      <c r="E3" s="8" t="inlineStr"/>
      <c r="F3" s="8" t="inlineStr"/>
      <c r="G3" s="8" t="inlineStr"/>
      <c r="H3" s="8" t="inlineStr">
        <is>
          <t>Baseline</t>
        </is>
      </c>
      <c r="I3" s="8" t="inlineStr"/>
    </row>
    <row r="4">
      <c r="A4" s="8" t="inlineStr">
        <is>
          <t>FR-003</t>
        </is>
      </c>
      <c r="B4" s="8" t="inlineStr">
        <is>
          <t>Functional - Audio consent</t>
        </is>
      </c>
      <c r="C4" s="8" t="inlineStr">
        <is>
          <t>The system shall start music only after a user gesture and retain a visible mute control.</t>
        </is>
      </c>
      <c r="D4" s="8" t="inlineStr">
        <is>
          <t>P0</t>
        </is>
      </c>
      <c r="E4" s="8" t="inlineStr"/>
      <c r="F4" s="8" t="inlineStr"/>
      <c r="G4" s="8" t="inlineStr"/>
      <c r="H4" s="8" t="inlineStr">
        <is>
          <t>Baseline</t>
        </is>
      </c>
      <c r="I4" s="8" t="inlineStr"/>
    </row>
    <row r="5">
      <c r="A5" s="8" t="inlineStr">
        <is>
          <t>FR-004</t>
        </is>
      </c>
      <c r="B5" s="8" t="inlineStr">
        <is>
          <t>Functional - Birthday state</t>
        </is>
      </c>
      <c r="C5" s="8" t="inlineStr">
        <is>
          <t>The system shall derive countdown and celebration state using Asia/Kolkata unless configured otherwise.</t>
        </is>
      </c>
      <c r="D5" s="8" t="inlineStr">
        <is>
          <t>P0</t>
        </is>
      </c>
      <c r="E5" s="8" t="inlineStr"/>
      <c r="F5" s="8" t="inlineStr"/>
      <c r="G5" s="8" t="inlineStr"/>
      <c r="H5" s="8" t="inlineStr">
        <is>
          <t>Baseline</t>
        </is>
      </c>
      <c r="I5" s="8" t="inlineStr"/>
    </row>
    <row r="6">
      <c r="A6" s="8" t="inlineStr">
        <is>
          <t>FR-005</t>
        </is>
      </c>
      <c r="B6" s="8" t="inlineStr">
        <is>
          <t>Functional - Story progression</t>
        </is>
      </c>
      <c r="C6" s="8" t="inlineStr">
        <is>
          <t>The user shall navigate forward and backward using taps and gestures without losing progress.</t>
        </is>
      </c>
      <c r="D6" s="8" t="inlineStr">
        <is>
          <t>P0</t>
        </is>
      </c>
      <c r="E6" s="8" t="inlineStr"/>
      <c r="F6" s="8" t="inlineStr"/>
      <c r="G6" s="8" t="inlineStr"/>
      <c r="H6" s="8" t="inlineStr">
        <is>
          <t>Baseline</t>
        </is>
      </c>
      <c r="I6" s="8" t="inlineStr"/>
    </row>
    <row r="7">
      <c r="A7" s="8" t="inlineStr">
        <is>
          <t>FR-006</t>
        </is>
      </c>
      <c r="B7" s="8" t="inlineStr">
        <is>
          <t>Functional - Deep-link safety</t>
        </is>
      </c>
      <c r="C7" s="8" t="inlineStr">
        <is>
          <t>Protected internal routes shall not expose private copy or media when opened directly.</t>
        </is>
      </c>
      <c r="D7" s="8" t="inlineStr">
        <is>
          <t>P0</t>
        </is>
      </c>
      <c r="E7" s="8" t="inlineStr"/>
      <c r="F7" s="8" t="inlineStr"/>
      <c r="G7" s="8" t="inlineStr"/>
      <c r="H7" s="8" t="inlineStr">
        <is>
          <t>Baseline</t>
        </is>
      </c>
      <c r="I7" s="8" t="inlineStr"/>
    </row>
    <row r="8">
      <c r="A8" s="8" t="inlineStr">
        <is>
          <t>FR-007</t>
        </is>
      </c>
      <c r="B8" s="8" t="inlineStr">
        <is>
          <t>Functional - Photo gallery</t>
        </is>
      </c>
      <c r="C8" s="8" t="inlineStr">
        <is>
          <t>Photos shall support lazy loading, swipe, zoom, captions, and an accessible close action.</t>
        </is>
      </c>
      <c r="D8" s="8" t="inlineStr">
        <is>
          <t>P0</t>
        </is>
      </c>
      <c r="E8" s="8" t="inlineStr"/>
      <c r="F8" s="8" t="inlineStr"/>
      <c r="G8" s="8" t="inlineStr"/>
      <c r="H8" s="8" t="inlineStr">
        <is>
          <t>Baseline</t>
        </is>
      </c>
      <c r="I8" s="8" t="inlineStr"/>
    </row>
    <row r="9">
      <c r="A9" s="8" t="inlineStr">
        <is>
          <t>FR-008</t>
        </is>
      </c>
      <c r="B9" s="8" t="inlineStr">
        <is>
          <t>Functional - Video playback</t>
        </is>
      </c>
      <c r="C9" s="8" t="inlineStr">
        <is>
          <t>Opening video shall pause or duck background music and restore it after playback.</t>
        </is>
      </c>
      <c r="D9" s="8" t="inlineStr">
        <is>
          <t>P0</t>
        </is>
      </c>
      <c r="E9" s="8" t="inlineStr"/>
      <c r="F9" s="8" t="inlineStr"/>
      <c r="G9" s="8" t="inlineStr"/>
      <c r="H9" s="8" t="inlineStr">
        <is>
          <t>Baseline</t>
        </is>
      </c>
      <c r="I9" s="8" t="inlineStr"/>
    </row>
    <row r="10">
      <c r="A10" s="8" t="inlineStr">
        <is>
          <t>FR-009</t>
        </is>
      </c>
      <c r="B10" s="8" t="inlineStr">
        <is>
          <t>Functional - Voice playback</t>
        </is>
      </c>
      <c r="C10" s="8" t="inlineStr">
        <is>
          <t>Voice-note playback shall pause or duck background music and expose elapsed/duration state.</t>
        </is>
      </c>
      <c r="D10" s="8" t="inlineStr">
        <is>
          <t>P0</t>
        </is>
      </c>
      <c r="E10" s="8" t="inlineStr"/>
      <c r="F10" s="8" t="inlineStr"/>
      <c r="G10" s="8" t="inlineStr"/>
      <c r="H10" s="8" t="inlineStr">
        <is>
          <t>Baseline</t>
        </is>
      </c>
      <c r="I10" s="8" t="inlineStr"/>
    </row>
    <row r="11">
      <c r="A11" s="8" t="inlineStr">
        <is>
          <t>FR-010</t>
        </is>
      </c>
      <c r="B11" s="8" t="inlineStr">
        <is>
          <t>Functional - Quiz</t>
        </is>
      </c>
      <c r="C11" s="8" t="inlineStr">
        <is>
          <t>The quiz shall present one question at a time, normalize answers, and provide gentle retry feedback.</t>
        </is>
      </c>
      <c r="D11" s="8" t="inlineStr">
        <is>
          <t>P0</t>
        </is>
      </c>
      <c r="E11" s="8" t="inlineStr"/>
      <c r="F11" s="8" t="inlineStr"/>
      <c r="G11" s="8" t="inlineStr"/>
      <c r="H11" s="8" t="inlineStr">
        <is>
          <t>Baseline</t>
        </is>
      </c>
      <c r="I11" s="8" t="inlineStr"/>
    </row>
    <row r="12">
      <c r="A12" s="8" t="inlineStr">
        <is>
          <t>FR-011</t>
        </is>
      </c>
      <c r="B12" s="8" t="inlineStr">
        <is>
          <t>Functional - Quiz completion</t>
        </is>
      </c>
      <c r="C12" s="8" t="inlineStr">
        <is>
          <t>Completing all required questions shall unlock the next story section.</t>
        </is>
      </c>
      <c r="D12" s="8" t="inlineStr">
        <is>
          <t>P0</t>
        </is>
      </c>
      <c r="E12" s="8" t="inlineStr"/>
      <c r="F12" s="8" t="inlineStr"/>
      <c r="G12" s="8" t="inlineStr"/>
      <c r="H12" s="8" t="inlineStr">
        <is>
          <t>Baseline</t>
        </is>
      </c>
      <c r="I12" s="8" t="inlineStr"/>
    </row>
    <row r="13">
      <c r="A13" s="8" t="inlineStr">
        <is>
          <t>FR-012</t>
        </is>
      </c>
      <c r="B13" s="8" t="inlineStr">
        <is>
          <t>Functional - Letter</t>
        </is>
      </c>
      <c r="C13" s="8" t="inlineStr">
        <is>
          <t>The letter shall be readable without waiting for animation and respect reduced-motion settings.</t>
        </is>
      </c>
      <c r="D13" s="8" t="inlineStr">
        <is>
          <t>P0</t>
        </is>
      </c>
      <c r="E13" s="8" t="inlineStr"/>
      <c r="F13" s="8" t="inlineStr"/>
      <c r="G13" s="8" t="inlineStr"/>
      <c r="H13" s="8" t="inlineStr">
        <is>
          <t>Baseline</t>
        </is>
      </c>
      <c r="I13" s="8" t="inlineStr"/>
    </row>
    <row r="14">
      <c r="A14" s="8" t="inlineStr">
        <is>
          <t>FR-013</t>
        </is>
      </c>
      <c r="B14" s="8" t="inlineStr">
        <is>
          <t>Functional - Finale</t>
        </is>
      </c>
      <c r="C14" s="8" t="inlineStr">
        <is>
          <t>The finale shall provide a tap fallback for every sensor-based interaction.</t>
        </is>
      </c>
      <c r="D14" s="8" t="inlineStr">
        <is>
          <t>P0</t>
        </is>
      </c>
      <c r="E14" s="8" t="inlineStr"/>
      <c r="F14" s="8" t="inlineStr"/>
      <c r="G14" s="8" t="inlineStr"/>
      <c r="H14" s="8" t="inlineStr">
        <is>
          <t>Baseline</t>
        </is>
      </c>
      <c r="I14" s="8" t="inlineStr"/>
    </row>
    <row r="15">
      <c r="A15" s="8" t="inlineStr">
        <is>
          <t>FR-014</t>
        </is>
      </c>
      <c r="B15" s="8" t="inlineStr">
        <is>
          <t>Functional - Progress persistence</t>
        </is>
      </c>
      <c r="C15" s="8" t="inlineStr">
        <is>
          <t>The experience shall retain non-sensitive local progress across accidental refreshes.</t>
        </is>
      </c>
      <c r="D15" s="8" t="inlineStr">
        <is>
          <t>P1</t>
        </is>
      </c>
      <c r="E15" s="8" t="inlineStr"/>
      <c r="F15" s="8" t="inlineStr"/>
      <c r="G15" s="8" t="inlineStr"/>
      <c r="H15" s="8" t="inlineStr">
        <is>
          <t>Baseline</t>
        </is>
      </c>
      <c r="I15" s="8" t="inlineStr"/>
    </row>
    <row r="16">
      <c r="A16" s="8" t="inlineStr">
        <is>
          <t>FR-015</t>
        </is>
      </c>
      <c r="B16" s="8" t="inlineStr">
        <is>
          <t>Functional - Content validation</t>
        </is>
      </c>
      <c r="C16" s="8" t="inlineStr">
        <is>
          <t>Build shall fail when required content IDs, media references, or answer definitions are invalid.</t>
        </is>
      </c>
      <c r="D16" s="8" t="inlineStr">
        <is>
          <t>P0</t>
        </is>
      </c>
      <c r="E16" s="8" t="inlineStr"/>
      <c r="F16" s="8" t="inlineStr"/>
      <c r="G16" s="8" t="inlineStr"/>
      <c r="H16" s="8" t="inlineStr">
        <is>
          <t>Baseline</t>
        </is>
      </c>
      <c r="I16" s="8" t="inlineStr"/>
    </row>
    <row r="17">
      <c r="A17" s="8" t="inlineStr">
        <is>
          <t>FR-016</t>
        </is>
      </c>
      <c r="B17" s="8" t="inlineStr">
        <is>
          <t>Functional - No indexing</t>
        </is>
      </c>
      <c r="C17" s="8" t="inlineStr">
        <is>
          <t>Production shall use noindex/nofollow directives and generic social metadata.</t>
        </is>
      </c>
      <c r="D17" s="8" t="inlineStr">
        <is>
          <t>P0</t>
        </is>
      </c>
      <c r="E17" s="8" t="inlineStr"/>
      <c r="F17" s="8" t="inlineStr"/>
      <c r="G17" s="8" t="inlineStr"/>
      <c r="H17" s="8" t="inlineStr">
        <is>
          <t>Baseline</t>
        </is>
      </c>
      <c r="I17" s="8" t="inlineStr"/>
    </row>
    <row r="18">
      <c r="A18" s="8" t="inlineStr">
        <is>
          <t>FR-017</t>
        </is>
      </c>
      <c r="B18" s="8" t="inlineStr">
        <is>
          <t>Functional - Error recovery</t>
        </is>
      </c>
      <c r="C18" s="8" t="inlineStr">
        <is>
          <t>Media failures shall show an emotionally neutral retry/skip state rather than a broken page.</t>
        </is>
      </c>
      <c r="D18" s="8" t="inlineStr">
        <is>
          <t>P0</t>
        </is>
      </c>
      <c r="E18" s="8" t="inlineStr"/>
      <c r="F18" s="8" t="inlineStr"/>
      <c r="G18" s="8" t="inlineStr"/>
      <c r="H18" s="8" t="inlineStr">
        <is>
          <t>Baseline</t>
        </is>
      </c>
      <c r="I18" s="8" t="inlineStr"/>
    </row>
    <row r="19">
      <c r="A19" s="8" t="inlineStr">
        <is>
          <t>FR-018</t>
        </is>
      </c>
      <c r="B19" s="8" t="inlineStr">
        <is>
          <t>Functional - Replay</t>
        </is>
      </c>
      <c r="C19" s="8" t="inlineStr">
        <is>
          <t>The ending shall allow replay without requiring the user to re-enter personal answers unless configured.</t>
        </is>
      </c>
      <c r="D19" s="8" t="inlineStr">
        <is>
          <t>P1</t>
        </is>
      </c>
      <c r="E19" s="8" t="inlineStr"/>
      <c r="F19" s="8" t="inlineStr"/>
      <c r="G19" s="8" t="inlineStr"/>
      <c r="H19" s="8" t="inlineStr">
        <is>
          <t>Baseline</t>
        </is>
      </c>
      <c r="I19" s="8" t="inlineStr"/>
    </row>
    <row r="20">
      <c r="A20" s="8" t="inlineStr">
        <is>
          <t>FR-019</t>
        </is>
      </c>
      <c r="B20" s="8" t="inlineStr">
        <is>
          <t>Functional - Admin-free content</t>
        </is>
      </c>
      <c r="C20" s="8" t="inlineStr">
        <is>
          <t>All personalized content shall be file-driven and deployable without a database or CMS for this release.</t>
        </is>
      </c>
      <c r="D20" s="8" t="inlineStr">
        <is>
          <t>P0</t>
        </is>
      </c>
      <c r="E20" s="8" t="inlineStr"/>
      <c r="F20" s="8" t="inlineStr"/>
      <c r="G20" s="8" t="inlineStr"/>
      <c r="H20" s="8" t="inlineStr">
        <is>
          <t>Baseline</t>
        </is>
      </c>
      <c r="I20" s="8" t="inlineStr"/>
    </row>
    <row r="21">
      <c r="A21" s="8" t="inlineStr">
        <is>
          <t>FR-020</t>
        </is>
      </c>
      <c r="B21" s="8" t="inlineStr">
        <is>
          <t>Functional - Deletion</t>
        </is>
      </c>
      <c r="C21" s="8" t="inlineStr">
        <is>
          <t>The deployment owner shall be able to remove the site and media using a documented retirement procedure.</t>
        </is>
      </c>
      <c r="D21" s="8" t="inlineStr">
        <is>
          <t>P0</t>
        </is>
      </c>
      <c r="E21" s="8" t="inlineStr"/>
      <c r="F21" s="8" t="inlineStr"/>
      <c r="G21" s="8" t="inlineStr"/>
      <c r="H21" s="8" t="inlineStr">
        <is>
          <t>Baseline</t>
        </is>
      </c>
      <c r="I21" s="8" t="inlineStr"/>
    </row>
    <row r="22">
      <c r="A22" s="8" t="inlineStr">
        <is>
          <t>NFR-001</t>
        </is>
      </c>
      <c r="B22" s="8" t="inlineStr">
        <is>
          <t>Non-functional - Performance</t>
        </is>
      </c>
      <c r="C22" s="8" t="inlineStr">
        <is>
          <t>LCP &lt;= 2.5 s at p75 on representative mobile production tests after the initial private gate.</t>
        </is>
      </c>
      <c r="D22" s="8" t="inlineStr">
        <is>
          <t>P0</t>
        </is>
      </c>
      <c r="E22" s="8" t="inlineStr"/>
      <c r="F22" s="8" t="inlineStr"/>
      <c r="G22" s="8" t="inlineStr"/>
      <c r="H22" s="8" t="inlineStr">
        <is>
          <t>Baseline</t>
        </is>
      </c>
      <c r="I22" s="8" t="inlineStr"/>
    </row>
    <row r="23">
      <c r="A23" s="8" t="inlineStr">
        <is>
          <t>NFR-002</t>
        </is>
      </c>
      <c r="B23" s="8" t="inlineStr">
        <is>
          <t>Non-functional - Responsiveness</t>
        </is>
      </c>
      <c r="C23" s="8" t="inlineStr">
        <is>
          <t>No horizontal overflow at 320, 360, 375, 390, 412, and 430 CSS px.</t>
        </is>
      </c>
      <c r="D23" s="8" t="inlineStr">
        <is>
          <t>P0</t>
        </is>
      </c>
      <c r="E23" s="8" t="inlineStr"/>
      <c r="F23" s="8" t="inlineStr"/>
      <c r="G23" s="8" t="inlineStr"/>
      <c r="H23" s="8" t="inlineStr">
        <is>
          <t>Baseline</t>
        </is>
      </c>
      <c r="I23" s="8" t="inlineStr"/>
    </row>
    <row r="24">
      <c r="A24" s="8" t="inlineStr">
        <is>
          <t>NFR-003</t>
        </is>
      </c>
      <c r="B24" s="8" t="inlineStr">
        <is>
          <t>Non-functional - Accessibility</t>
        </is>
      </c>
      <c r="C24" s="8" t="inlineStr">
        <is>
          <t>Target WCAG 2.2 AA for keyboard, contrast, names, focus, captions, reduced motion, and touch targets.</t>
        </is>
      </c>
      <c r="D24" s="8" t="inlineStr">
        <is>
          <t>P0</t>
        </is>
      </c>
      <c r="E24" s="8" t="inlineStr"/>
      <c r="F24" s="8" t="inlineStr"/>
      <c r="G24" s="8" t="inlineStr"/>
      <c r="H24" s="8" t="inlineStr">
        <is>
          <t>Baseline</t>
        </is>
      </c>
      <c r="I24" s="8" t="inlineStr"/>
    </row>
    <row r="25">
      <c r="A25" s="8" t="inlineStr">
        <is>
          <t>NFR-004</t>
        </is>
      </c>
      <c r="B25" s="8" t="inlineStr">
        <is>
          <t>Non-functional - Privacy</t>
        </is>
      </c>
      <c r="C25" s="8" t="inlineStr">
        <is>
          <t>Personal assets shall not be embedded in public source control or exposed before authorization.</t>
        </is>
      </c>
      <c r="D25" s="8" t="inlineStr">
        <is>
          <t>P0</t>
        </is>
      </c>
      <c r="E25" s="8" t="inlineStr"/>
      <c r="F25" s="8" t="inlineStr"/>
      <c r="G25" s="8" t="inlineStr"/>
      <c r="H25" s="8" t="inlineStr">
        <is>
          <t>Baseline</t>
        </is>
      </c>
      <c r="I25" s="8" t="inlineStr"/>
    </row>
    <row r="26">
      <c r="A26" s="8" t="inlineStr">
        <is>
          <t>NFR-005</t>
        </is>
      </c>
      <c r="B26" s="8" t="inlineStr">
        <is>
          <t>Non-functional - Security</t>
        </is>
      </c>
      <c r="C26" s="8" t="inlineStr">
        <is>
          <t>Secrets and access verification shall execute server-side; no plaintext passphrase in client bundles.</t>
        </is>
      </c>
      <c r="D26" s="8" t="inlineStr">
        <is>
          <t>P0</t>
        </is>
      </c>
      <c r="E26" s="8" t="inlineStr"/>
      <c r="F26" s="8" t="inlineStr"/>
      <c r="G26" s="8" t="inlineStr"/>
      <c r="H26" s="8" t="inlineStr">
        <is>
          <t>Baseline</t>
        </is>
      </c>
      <c r="I26" s="8" t="inlineStr"/>
    </row>
    <row r="27">
      <c r="A27" s="8" t="inlineStr">
        <is>
          <t>NFR-006</t>
        </is>
      </c>
      <c r="B27" s="8" t="inlineStr">
        <is>
          <t>Non-functional - Reliability</t>
        </is>
      </c>
      <c r="C27" s="8" t="inlineStr">
        <is>
          <t>Core story remains usable when audio, vibration, microphone, wake lock, or motion sensors are unavailable.</t>
        </is>
      </c>
      <c r="D27" s="8" t="inlineStr">
        <is>
          <t>P0</t>
        </is>
      </c>
      <c r="E27" s="8" t="inlineStr"/>
      <c r="F27" s="8" t="inlineStr"/>
      <c r="G27" s="8" t="inlineStr"/>
      <c r="H27" s="8" t="inlineStr">
        <is>
          <t>Baseline</t>
        </is>
      </c>
      <c r="I27" s="8" t="inlineStr"/>
    </row>
    <row r="28">
      <c r="A28" s="8" t="inlineStr">
        <is>
          <t>NFR-007</t>
        </is>
      </c>
      <c r="B28" s="8" t="inlineStr">
        <is>
          <t>Non-functional - Compatibility</t>
        </is>
      </c>
      <c r="C28" s="8" t="inlineStr">
        <is>
          <t>Support current Safari iOS and Chrome Android; graceful degradation on other modern browsers.</t>
        </is>
      </c>
      <c r="D28" s="8" t="inlineStr">
        <is>
          <t>P0</t>
        </is>
      </c>
      <c r="E28" s="8" t="inlineStr"/>
      <c r="F28" s="8" t="inlineStr"/>
      <c r="G28" s="8" t="inlineStr"/>
      <c r="H28" s="8" t="inlineStr">
        <is>
          <t>Baseline</t>
        </is>
      </c>
      <c r="I28" s="8" t="inlineStr"/>
    </row>
    <row r="29">
      <c r="A29" s="8" t="inlineStr">
        <is>
          <t>NFR-008</t>
        </is>
      </c>
      <c r="B29" s="8" t="inlineStr">
        <is>
          <t>Non-functional - Maintainability</t>
        </is>
      </c>
      <c r="C29" s="8" t="inlineStr">
        <is>
          <t>Typed content, stable IDs, lint/type/test gates, and documented agent handoffs are mandatory.</t>
        </is>
      </c>
      <c r="D29" s="8" t="inlineStr">
        <is>
          <t>P0</t>
        </is>
      </c>
      <c r="E29" s="8" t="inlineStr"/>
      <c r="F29" s="8" t="inlineStr"/>
      <c r="G29" s="8" t="inlineStr"/>
      <c r="H29" s="8" t="inlineStr">
        <is>
          <t>Baseline</t>
        </is>
      </c>
      <c r="I29" s="8" t="inlineStr"/>
    </row>
    <row r="30">
      <c r="A30" s="8" t="inlineStr">
        <is>
          <t>NFR-009</t>
        </is>
      </c>
      <c r="B30" s="8" t="inlineStr">
        <is>
          <t>Non-functional - Media efficiency</t>
        </is>
      </c>
      <c r="C30" s="8" t="inlineStr">
        <is>
          <t>Images shall be resized and encoded to AVIF/WebP with a JPEG fallback; video shall use phone-friendly MP4.</t>
        </is>
      </c>
      <c r="D30" s="8" t="inlineStr">
        <is>
          <t>P0</t>
        </is>
      </c>
      <c r="E30" s="8" t="inlineStr"/>
      <c r="F30" s="8" t="inlineStr"/>
      <c r="G30" s="8" t="inlineStr"/>
      <c r="H30" s="8" t="inlineStr">
        <is>
          <t>Baseline</t>
        </is>
      </c>
      <c r="I30" s="8" t="inlineStr"/>
    </row>
    <row r="31">
      <c r="A31" s="8" t="inlineStr">
        <is>
          <t>NFR-010</t>
        </is>
      </c>
      <c r="B31" s="8" t="inlineStr">
        <is>
          <t>Non-functional - Observability</t>
        </is>
      </c>
      <c r="C31" s="8" t="inlineStr">
        <is>
          <t>Production shall expose privacy-safe operational errors without collecting story answers or personal content.</t>
        </is>
      </c>
      <c r="D31" s="8" t="inlineStr">
        <is>
          <t>P1</t>
        </is>
      </c>
      <c r="E31" s="8" t="inlineStr"/>
      <c r="F31" s="8" t="inlineStr"/>
      <c r="G31" s="8" t="inlineStr"/>
      <c r="H31" s="8" t="inlineStr">
        <is>
          <t>Baseline</t>
        </is>
      </c>
      <c r="I31" s="8" t="inlineStr"/>
    </row>
    <row r="32">
      <c r="A32" s="8" t="inlineStr">
        <is>
          <t>NFR-011</t>
        </is>
      </c>
      <c r="B32" s="8" t="inlineStr">
        <is>
          <t>Non-functional - Motion safety</t>
        </is>
      </c>
      <c r="C32" s="8" t="inlineStr">
        <is>
          <t>Non-essential motion shall be disabled or simplified under prefers-reduced-motion.</t>
        </is>
      </c>
      <c r="D32" s="8" t="inlineStr">
        <is>
          <t>P0</t>
        </is>
      </c>
      <c r="E32" s="8" t="inlineStr"/>
      <c r="F32" s="8" t="inlineStr"/>
      <c r="G32" s="8" t="inlineStr"/>
      <c r="H32" s="8" t="inlineStr">
        <is>
          <t>Baseline</t>
        </is>
      </c>
      <c r="I32" s="8" t="inlineStr"/>
    </row>
    <row r="33">
      <c r="A33" s="8" t="inlineStr">
        <is>
          <t>NFR-012</t>
        </is>
      </c>
      <c r="B33" s="8" t="inlineStr">
        <is>
          <t>Non-functional - Asset integrity</t>
        </is>
      </c>
      <c r="C33" s="8" t="inlineStr">
        <is>
          <t>A build-time manifest shall detect missing and orphaned media.</t>
        </is>
      </c>
      <c r="D33" s="8" t="inlineStr">
        <is>
          <t>P0</t>
        </is>
      </c>
      <c r="E33" s="8" t="inlineStr"/>
      <c r="F33" s="8" t="inlineStr"/>
      <c r="G33" s="8" t="inlineStr"/>
      <c r="H33" s="8" t="inlineStr">
        <is>
          <t>Baseline</t>
        </is>
      </c>
      <c r="I33" s="8" t="inlineStr"/>
    </row>
  </sheetData>
  <autoFilter ref="A1:I33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20" customWidth="1" min="4" max="4"/>
    <col width="15" customWidth="1" min="5" max="5"/>
    <col width="12" customWidth="1" min="6" max="6"/>
    <col width="16" customWidth="1" min="7" max="7"/>
    <col width="40" customWidth="1" min="8" max="8"/>
    <col width="45" customWidth="1" min="9" max="9"/>
    <col width="19" customWidth="1" min="10" max="10"/>
    <col width="13" customWidth="1" min="11" max="11"/>
    <col width="17" customWidth="1" min="12" max="12"/>
    <col width="18" customWidth="1" min="13" max="13"/>
    <col width="19" customWidth="1" min="14" max="14"/>
    <col width="21" customWidth="1" min="15" max="15"/>
    <col width="19" customWidth="1" min="16" max="16"/>
    <col width="15" customWidth="1" min="17" max="17"/>
    <col width="20" customWidth="1" min="18" max="18"/>
    <col width="12" customWidth="1" min="19" max="19"/>
    <col width="12" customWidth="1" min="20" max="20"/>
    <col width="45" customWidth="1" min="21" max="21"/>
  </cols>
  <sheetData>
    <row r="1" ht="32" customHeight="1">
      <c r="A1" s="7" t="inlineStr">
        <is>
          <t>asset_id</t>
        </is>
      </c>
      <c r="B1" s="7" t="inlineStr">
        <is>
          <t>source_filename</t>
        </is>
      </c>
      <c r="C1" s="7" t="inlineStr">
        <is>
          <t>kind</t>
        </is>
      </c>
      <c r="D1" s="7" t="inlineStr">
        <is>
          <t>album_or_chapter</t>
        </is>
      </c>
      <c r="E1" s="7" t="inlineStr">
        <is>
          <t>captured_at</t>
        </is>
      </c>
      <c r="F1" s="7" t="inlineStr">
        <is>
          <t>order</t>
        </is>
      </c>
      <c r="G1" s="7" t="inlineStr">
        <is>
          <t>people_shown</t>
        </is>
      </c>
      <c r="H1" s="7" t="inlineStr">
        <is>
          <t>caption</t>
        </is>
      </c>
      <c r="I1" s="7" t="inlineStr">
        <is>
          <t>alt_text</t>
        </is>
      </c>
      <c r="J1" s="7" t="inlineStr">
        <is>
          <t>object_position</t>
        </is>
      </c>
      <c r="K1" s="7" t="inlineStr">
        <is>
          <t>sensitive</t>
        </is>
      </c>
      <c r="L1" s="7" t="inlineStr">
        <is>
          <t>rights_status</t>
        </is>
      </c>
      <c r="M1" s="7" t="inlineStr">
        <is>
          <t>consent_status</t>
        </is>
      </c>
      <c r="N1" s="7" t="inlineStr">
        <is>
          <t>approval_status</t>
        </is>
      </c>
      <c r="O1" s="7" t="inlineStr">
        <is>
          <t>original_checksum</t>
        </is>
      </c>
      <c r="P1" s="7" t="inlineStr">
        <is>
          <t>derivative_path</t>
        </is>
      </c>
      <c r="Q1" s="7" t="inlineStr">
        <is>
          <t>poster_path</t>
        </is>
      </c>
      <c r="R1" s="7" t="inlineStr">
        <is>
          <t>duration_seconds</t>
        </is>
      </c>
      <c r="S1" s="7" t="inlineStr">
        <is>
          <t>width</t>
        </is>
      </c>
      <c r="T1" s="7" t="inlineStr">
        <is>
          <t>height</t>
        </is>
      </c>
      <c r="U1" s="7" t="inlineStr">
        <is>
          <t>notes</t>
        </is>
      </c>
    </row>
    <row r="2">
      <c r="A2" s="8" t="inlineStr">
        <is>
          <t>unassigned-source-image-01</t>
        </is>
      </c>
      <c r="B2" s="8" t="inlineStr">
        <is>
          <t>2515b62c-ecce-4563-b74f-e2586568e32b.png</t>
        </is>
      </c>
      <c r="C2" s="8" t="inlineStr">
        <is>
          <t>image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>
        <is>
          <t>50% 50%</t>
        </is>
      </c>
      <c r="K2" s="8" t="inlineStr"/>
      <c r="L2" s="8" t="inlineStr">
        <is>
          <t>unknown</t>
        </is>
      </c>
      <c r="M2" s="8" t="inlineStr">
        <is>
          <t>unknown</t>
        </is>
      </c>
      <c r="N2" s="8" t="inlineStr">
        <is>
          <t>missing</t>
        </is>
      </c>
      <c r="O2" s="8" t="inlineStr"/>
      <c r="P2" s="8" t="inlineStr"/>
      <c r="Q2" s="8" t="inlineStr"/>
      <c r="R2" s="8" t="inlineStr"/>
      <c r="S2" s="8" t="inlineStr"/>
      <c r="T2" s="8" t="inlineStr"/>
      <c r="U2" s="8" t="inlineStr">
        <is>
          <t>Referenced in source; binary not received</t>
        </is>
      </c>
    </row>
    <row r="3">
      <c r="A3" s="8" t="inlineStr">
        <is>
          <t>unassigned-source-image-02</t>
        </is>
      </c>
      <c r="B3" s="8" t="inlineStr">
        <is>
          <t>5619d1a0-5a19-41b9-acba-c7ab3d376585.png</t>
        </is>
      </c>
      <c r="C3" s="8" t="inlineStr">
        <is>
          <t>image</t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>
        <is>
          <t>50% 50%</t>
        </is>
      </c>
      <c r="K3" s="8" t="inlineStr"/>
      <c r="L3" s="8" t="inlineStr">
        <is>
          <t>unknown</t>
        </is>
      </c>
      <c r="M3" s="8" t="inlineStr">
        <is>
          <t>unknown</t>
        </is>
      </c>
      <c r="N3" s="8" t="inlineStr">
        <is>
          <t>missing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>
        <is>
          <t>Referenced in source; binary not received</t>
        </is>
      </c>
    </row>
    <row r="4">
      <c r="A4" s="8" t="inlineStr">
        <is>
          <t>unassigned-source-image-03</t>
        </is>
      </c>
      <c r="B4" s="8" t="inlineStr">
        <is>
          <t>91eeed48-942a-4321-81ad-978305bb719a.png</t>
        </is>
      </c>
      <c r="C4" s="8" t="inlineStr">
        <is>
          <t>image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>
        <is>
          <t>50% 50%</t>
        </is>
      </c>
      <c r="K4" s="8" t="inlineStr"/>
      <c r="L4" s="8" t="inlineStr">
        <is>
          <t>unknown</t>
        </is>
      </c>
      <c r="M4" s="8" t="inlineStr">
        <is>
          <t>unknown</t>
        </is>
      </c>
      <c r="N4" s="8" t="inlineStr">
        <is>
          <t>missing</t>
        </is>
      </c>
      <c r="O4" s="8" t="inlineStr"/>
      <c r="P4" s="8" t="inlineStr"/>
      <c r="Q4" s="8" t="inlineStr"/>
      <c r="R4" s="8" t="inlineStr"/>
      <c r="S4" s="8" t="inlineStr"/>
      <c r="T4" s="8" t="inlineStr"/>
      <c r="U4" s="8" t="inlineStr">
        <is>
          <t>Referenced in source; binary not received</t>
        </is>
      </c>
    </row>
    <row r="5">
      <c r="A5" s="8" t="inlineStr">
        <is>
          <t>unassigned-source-image-04</t>
        </is>
      </c>
      <c r="B5" s="8" t="inlineStr">
        <is>
          <t>52a80496-d17f-4fb8-a479-263dc228850d.png</t>
        </is>
      </c>
      <c r="C5" s="8" t="inlineStr">
        <is>
          <t>image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>
        <is>
          <t>50% 50%</t>
        </is>
      </c>
      <c r="K5" s="8" t="inlineStr"/>
      <c r="L5" s="8" t="inlineStr">
        <is>
          <t>unknown</t>
        </is>
      </c>
      <c r="M5" s="8" t="inlineStr">
        <is>
          <t>unknown</t>
        </is>
      </c>
      <c r="N5" s="8" t="inlineStr">
        <is>
          <t>missing</t>
        </is>
      </c>
      <c r="O5" s="8" t="inlineStr"/>
      <c r="P5" s="8" t="inlineStr"/>
      <c r="Q5" s="8" t="inlineStr"/>
      <c r="R5" s="8" t="inlineStr"/>
      <c r="S5" s="8" t="inlineStr"/>
      <c r="T5" s="8" t="inlineStr"/>
      <c r="U5" s="8" t="inlineStr">
        <is>
          <t>Referenced in source; binary not received</t>
        </is>
      </c>
    </row>
  </sheetData>
  <autoFilter ref="A1:U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8" customWidth="1" min="3" max="3"/>
    <col width="22" customWidth="1" min="4" max="4"/>
    <col width="20" customWidth="1" min="5" max="5"/>
    <col width="16" customWidth="1" min="6" max="6"/>
    <col width="20" customWidth="1" min="7" max="7"/>
    <col width="18" customWidth="1" min="8" max="8"/>
    <col width="18" customWidth="1" min="9" max="9"/>
    <col width="35" customWidth="1" min="10" max="10"/>
  </cols>
  <sheetData>
    <row r="1" ht="32" customHeight="1">
      <c r="A1" s="7" t="inlineStr">
        <is>
          <t>content_id</t>
        </is>
      </c>
      <c r="B1" s="7" t="inlineStr">
        <is>
          <t>content_type</t>
        </is>
      </c>
      <c r="C1" s="7" t="inlineStr">
        <is>
          <t>exact_text_or_summary</t>
        </is>
      </c>
      <c r="D1" s="7" t="inlineStr">
        <is>
          <t>source</t>
        </is>
      </c>
      <c r="E1" s="7" t="inlineStr">
        <is>
          <t>owner</t>
        </is>
      </c>
      <c r="F1" s="7" t="inlineStr">
        <is>
          <t>status</t>
        </is>
      </c>
      <c r="G1" s="7" t="inlineStr">
        <is>
          <t>approver</t>
        </is>
      </c>
      <c r="H1" s="7" t="inlineStr">
        <is>
          <t>approved_at</t>
        </is>
      </c>
      <c r="I1" s="7" t="inlineStr">
        <is>
          <t>affected_screen</t>
        </is>
      </c>
      <c r="J1" s="7" t="inlineStr">
        <is>
          <t>notes</t>
        </is>
      </c>
    </row>
    <row r="2">
      <c r="A2" s="8" t="inlineStr">
        <is>
          <t>fact-birthday</t>
        </is>
      </c>
      <c r="B2" s="8" t="inlineStr">
        <is>
          <t>fact</t>
        </is>
      </c>
      <c r="C2" s="8" t="inlineStr">
        <is>
          <t>8 August 2026</t>
        </is>
      </c>
      <c r="D2" s="8" t="inlineStr">
        <is>
          <t>source baseline</t>
        </is>
      </c>
      <c r="E2" s="8" t="inlineStr">
        <is>
          <t>Project Owner</t>
        </is>
      </c>
      <c r="F2" s="8" t="inlineStr">
        <is>
          <t>Confirmed</t>
        </is>
      </c>
      <c r="G2" s="8" t="inlineStr"/>
      <c r="H2" s="8" t="inlineStr"/>
      <c r="I2" s="8" t="inlineStr">
        <is>
          <t>S05</t>
        </is>
      </c>
      <c r="J2" s="8" t="inlineStr"/>
    </row>
    <row r="3">
      <c r="A3" s="8" t="inlineStr">
        <is>
          <t>fact-first-message</t>
        </is>
      </c>
      <c r="B3" s="8" t="inlineStr">
        <is>
          <t>fact</t>
        </is>
      </c>
      <c r="C3" s="8" t="inlineStr">
        <is>
          <t>19 December 2025</t>
        </is>
      </c>
      <c r="D3" s="8" t="inlineStr">
        <is>
          <t>source baseline</t>
        </is>
      </c>
      <c r="E3" s="8" t="inlineStr">
        <is>
          <t>Project Owner</t>
        </is>
      </c>
      <c r="F3" s="8" t="inlineStr">
        <is>
          <t>Confirmed</t>
        </is>
      </c>
      <c r="G3" s="8" t="inlineStr"/>
      <c r="H3" s="8" t="inlineStr"/>
      <c r="I3" s="8" t="inlineStr">
        <is>
          <t>S06/S10</t>
        </is>
      </c>
      <c r="J3" s="8" t="inlineStr"/>
    </row>
    <row r="4">
      <c r="A4" s="8" t="inlineStr">
        <is>
          <t>fact-committed</t>
        </is>
      </c>
      <c r="B4" s="8" t="inlineStr">
        <is>
          <t>fact</t>
        </is>
      </c>
      <c r="C4" s="8" t="inlineStr">
        <is>
          <t>26 December 2025 at 6:12 PM</t>
        </is>
      </c>
      <c r="D4" s="8" t="inlineStr">
        <is>
          <t>source baseline</t>
        </is>
      </c>
      <c r="E4" s="8" t="inlineStr">
        <is>
          <t>Project Owner</t>
        </is>
      </c>
      <c r="F4" s="8" t="inlineStr">
        <is>
          <t>Confirmed</t>
        </is>
      </c>
      <c r="G4" s="8" t="inlineStr"/>
      <c r="H4" s="8" t="inlineStr"/>
      <c r="I4" s="8" t="inlineStr">
        <is>
          <t>S06/S10</t>
        </is>
      </c>
      <c r="J4" s="8" t="inlineStr"/>
    </row>
    <row r="5">
      <c r="A5" s="8" t="inlineStr">
        <is>
          <t>fact-first-meet</t>
        </is>
      </c>
      <c r="B5" s="8" t="inlineStr">
        <is>
          <t>fact</t>
        </is>
      </c>
      <c r="C5" s="8" t="inlineStr">
        <is>
          <t>6 January 2026 at 4:20 AM</t>
        </is>
      </c>
      <c r="D5" s="8" t="inlineStr">
        <is>
          <t>source baseline</t>
        </is>
      </c>
      <c r="E5" s="8" t="inlineStr">
        <is>
          <t>Project Owner</t>
        </is>
      </c>
      <c r="F5" s="8" t="inlineStr">
        <is>
          <t>Confirmed</t>
        </is>
      </c>
      <c r="G5" s="8" t="inlineStr"/>
      <c r="H5" s="8" t="inlineStr"/>
      <c r="I5" s="8" t="inlineStr">
        <is>
          <t>S06/S10</t>
        </is>
      </c>
      <c r="J5" s="8" t="inlineStr"/>
    </row>
    <row r="6">
      <c r="A6" s="8" t="inlineStr">
        <is>
          <t>fact-location</t>
        </is>
      </c>
      <c r="B6" s="8" t="inlineStr">
        <is>
          <t>fact</t>
        </is>
      </c>
      <c r="C6" s="8" t="inlineStr">
        <is>
          <t>Krishnarajapuram Railway Station, Bengaluru</t>
        </is>
      </c>
      <c r="D6" s="8" t="inlineStr">
        <is>
          <t>source baseline</t>
        </is>
      </c>
      <c r="E6" s="8" t="inlineStr">
        <is>
          <t>Project Owner</t>
        </is>
      </c>
      <c r="F6" s="8" t="inlineStr">
        <is>
          <t>Confirmed</t>
        </is>
      </c>
      <c r="G6" s="8" t="inlineStr"/>
      <c r="H6" s="8" t="inlineStr"/>
      <c r="I6" s="8" t="inlineStr">
        <is>
          <t>S06</t>
        </is>
      </c>
      <c r="J6" s="8" t="inlineStr"/>
    </row>
    <row r="7">
      <c r="A7" s="8" t="inlineStr">
        <is>
          <t>fact-destination</t>
        </is>
      </c>
      <c r="B7" s="8" t="inlineStr">
        <is>
          <t>fact</t>
        </is>
      </c>
      <c r="C7" s="8" t="inlineStr">
        <is>
          <t>Switzerland</t>
        </is>
      </c>
      <c r="D7" s="8" t="inlineStr">
        <is>
          <t>source baseline</t>
        </is>
      </c>
      <c r="E7" s="8" t="inlineStr">
        <is>
          <t>Project Owner</t>
        </is>
      </c>
      <c r="F7" s="8" t="inlineStr">
        <is>
          <t>Confirmed</t>
        </is>
      </c>
      <c r="G7" s="8" t="inlineStr"/>
      <c r="H7" s="8" t="inlineStr"/>
      <c r="I7" s="8" t="inlineStr">
        <is>
          <t>S02/S10/S13</t>
        </is>
      </c>
      <c r="J7" s="8" t="inlineStr"/>
    </row>
    <row r="8">
      <c r="A8" s="8" t="inlineStr">
        <is>
          <t>copy-letter</t>
        </is>
      </c>
      <c r="B8" s="8" t="inlineStr">
        <is>
          <t>letter</t>
        </is>
      </c>
      <c r="C8" s="8" t="inlineStr">
        <is>
          <t>Client input required</t>
        </is>
      </c>
      <c r="D8" s="8" t="inlineStr"/>
      <c r="E8" s="8" t="inlineStr">
        <is>
          <t>Client</t>
        </is>
      </c>
      <c r="F8" s="8" t="inlineStr">
        <is>
          <t>Open</t>
        </is>
      </c>
      <c r="G8" s="8" t="inlineStr"/>
      <c r="H8" s="8" t="inlineStr"/>
      <c r="I8" s="8" t="inlineStr">
        <is>
          <t>S14</t>
        </is>
      </c>
      <c r="J8" s="8" t="inlineStr"/>
    </row>
    <row r="9">
      <c r="A9" s="8" t="inlineStr">
        <is>
          <t>copy-finale</t>
        </is>
      </c>
      <c r="B9" s="8" t="inlineStr">
        <is>
          <t>finale</t>
        </is>
      </c>
      <c r="C9" s="8" t="inlineStr">
        <is>
          <t>Client input required</t>
        </is>
      </c>
      <c r="D9" s="8" t="inlineStr"/>
      <c r="E9" s="8" t="inlineStr">
        <is>
          <t>Client</t>
        </is>
      </c>
      <c r="F9" s="8" t="inlineStr">
        <is>
          <t>Open</t>
        </is>
      </c>
      <c r="G9" s="8" t="inlineStr"/>
      <c r="H9" s="8" t="inlineStr"/>
      <c r="I9" s="8" t="inlineStr">
        <is>
          <t>S16/S17</t>
        </is>
      </c>
      <c r="J9" s="8" t="inlineStr"/>
    </row>
  </sheetData>
  <autoFilter ref="A1:J9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2" customWidth="1" min="4" max="4"/>
    <col width="10" customWidth="1" min="5" max="5"/>
    <col width="60" customWidth="1" min="6" max="6"/>
    <col width="18" customWidth="1" min="7" max="7"/>
    <col width="32" customWidth="1" min="8" max="8"/>
    <col width="40" customWidth="1" min="9" max="9"/>
    <col width="14" customWidth="1" min="10" max="10"/>
    <col width="14" customWidth="1" min="11" max="11"/>
  </cols>
  <sheetData>
    <row r="1" ht="32" customHeight="1">
      <c r="A1" s="7" t="inlineStr">
        <is>
          <t>Risk ID</t>
        </is>
      </c>
      <c r="B1" s="7" t="inlineStr">
        <is>
          <t>Risk</t>
        </is>
      </c>
      <c r="C1" s="7" t="inlineStr">
        <is>
          <t>Likelihood</t>
        </is>
      </c>
      <c r="D1" s="7" t="inlineStr">
        <is>
          <t>Impact</t>
        </is>
      </c>
      <c r="E1" s="7" t="inlineStr">
        <is>
          <t>Score</t>
        </is>
      </c>
      <c r="F1" s="7" t="inlineStr">
        <is>
          <t>Mitigation</t>
        </is>
      </c>
      <c r="G1" s="7" t="inlineStr">
        <is>
          <t>Owner</t>
        </is>
      </c>
      <c r="H1" s="7" t="inlineStr">
        <is>
          <t>Trigger</t>
        </is>
      </c>
      <c r="I1" s="7" t="inlineStr">
        <is>
          <t>Contingency</t>
        </is>
      </c>
      <c r="J1" s="7" t="inlineStr">
        <is>
          <t>Status</t>
        </is>
      </c>
      <c r="K1" s="7" t="inlineStr">
        <is>
          <t>Review Date</t>
        </is>
      </c>
    </row>
    <row r="2">
      <c r="A2" s="8" t="inlineStr">
        <is>
          <t>R-01</t>
        </is>
      </c>
      <c r="B2" s="8" t="inlineStr">
        <is>
          <t>Late or disorganized media</t>
        </is>
      </c>
      <c r="C2" s="8" t="inlineStr">
        <is>
          <t>High</t>
        </is>
      </c>
      <c r="D2" s="8" t="inlineStr">
        <is>
          <t>High</t>
        </is>
      </c>
      <c r="E2" s="11" t="n">
        <v>9</v>
      </c>
      <c r="F2" s="8" t="inlineStr">
        <is>
          <t>Freeze media by 5 Aug; use inventory sheet and deterministic filenames.</t>
        </is>
      </c>
      <c r="G2" s="8" t="inlineStr"/>
      <c r="H2" s="8" t="inlineStr"/>
      <c r="I2" s="8" t="inlineStr"/>
      <c r="J2" s="8" t="inlineStr">
        <is>
          <t>Open</t>
        </is>
      </c>
      <c r="K2" s="8" t="inlineStr"/>
    </row>
    <row r="3">
      <c r="A3" s="8" t="inlineStr">
        <is>
          <t>R-02</t>
        </is>
      </c>
      <c r="B3" s="8" t="inlineStr">
        <is>
          <t>Copyrighted music without rights</t>
        </is>
      </c>
      <c r="C3" s="8" t="inlineStr">
        <is>
          <t>High</t>
        </is>
      </c>
      <c r="D3" s="8" t="inlineStr">
        <is>
          <t>High</t>
        </is>
      </c>
      <c r="E3" s="11" t="n">
        <v>9</v>
      </c>
      <c r="F3" s="8" t="inlineStr">
        <is>
          <t>Use licensed/royalty-free instrumental or client-supplied authorized track.</t>
        </is>
      </c>
      <c r="G3" s="8" t="inlineStr"/>
      <c r="H3" s="8" t="inlineStr"/>
      <c r="I3" s="8" t="inlineStr"/>
      <c r="J3" s="8" t="inlineStr">
        <is>
          <t>Open</t>
        </is>
      </c>
      <c r="K3" s="8" t="inlineStr"/>
    </row>
    <row r="4">
      <c r="A4" s="8" t="inlineStr">
        <is>
          <t>R-03</t>
        </is>
      </c>
      <c r="B4" s="8" t="inlineStr">
        <is>
          <t>Private photos exposed publicly</t>
        </is>
      </c>
      <c r="C4" s="8" t="inlineStr">
        <is>
          <t>High</t>
        </is>
      </c>
      <c r="D4" s="8" t="inlineStr">
        <is>
          <t>Critical</t>
        </is>
      </c>
      <c r="E4" s="11" t="n">
        <v>12</v>
      </c>
      <c r="F4" s="8" t="inlineStr">
        <is>
          <t>Server-side gate, non-public storage where feasible, noindex, generic metadata, retirement date.</t>
        </is>
      </c>
      <c r="G4" s="8" t="inlineStr"/>
      <c r="H4" s="8" t="inlineStr"/>
      <c r="I4" s="8" t="inlineStr"/>
      <c r="J4" s="8" t="inlineStr">
        <is>
          <t>Open</t>
        </is>
      </c>
      <c r="K4" s="8" t="inlineStr"/>
    </row>
    <row r="5">
      <c r="A5" s="8" t="inlineStr">
        <is>
          <t>R-04</t>
        </is>
      </c>
      <c r="B5" s="8" t="inlineStr">
        <is>
          <t>Heavy media causes slow load</t>
        </is>
      </c>
      <c r="C5" s="8" t="inlineStr">
        <is>
          <t>High</t>
        </is>
      </c>
      <c r="D5" s="8" t="inlineStr">
        <is>
          <t>High</t>
        </is>
      </c>
      <c r="E5" s="11" t="n">
        <v>9</v>
      </c>
      <c r="F5" s="8" t="inlineStr">
        <is>
          <t>Transcode, lazy-load, poster frames, prefetch only adjacent assets, bundle budgets.</t>
        </is>
      </c>
      <c r="G5" s="8" t="inlineStr"/>
      <c r="H5" s="8" t="inlineStr"/>
      <c r="I5" s="8" t="inlineStr"/>
      <c r="J5" s="8" t="inlineStr">
        <is>
          <t>Open</t>
        </is>
      </c>
      <c r="K5" s="8" t="inlineStr"/>
    </row>
    <row r="6">
      <c r="A6" s="8" t="inlineStr">
        <is>
          <t>R-05</t>
        </is>
      </c>
      <c r="B6" s="8" t="inlineStr">
        <is>
          <t>Autoplay blocked</t>
        </is>
      </c>
      <c r="C6" s="8" t="inlineStr">
        <is>
          <t>Certain</t>
        </is>
      </c>
      <c r="D6" s="8" t="inlineStr">
        <is>
          <t>Medium</t>
        </is>
      </c>
      <c r="E6" s="11" t="n">
        <v>8</v>
      </c>
      <c r="F6" s="8" t="inlineStr">
        <is>
          <t>Explicit start gesture; persistent music control; never rely on autoplay.</t>
        </is>
      </c>
      <c r="G6" s="8" t="inlineStr"/>
      <c r="H6" s="8" t="inlineStr"/>
      <c r="I6" s="8" t="inlineStr"/>
      <c r="J6" s="8" t="inlineStr">
        <is>
          <t>Open</t>
        </is>
      </c>
      <c r="K6" s="8" t="inlineStr"/>
    </row>
    <row r="7">
      <c r="A7" s="8" t="inlineStr">
        <is>
          <t>R-06</t>
        </is>
      </c>
      <c r="B7" s="8" t="inlineStr">
        <is>
          <t>Sensor APIs unavailable</t>
        </is>
      </c>
      <c r="C7" s="8" t="inlineStr">
        <is>
          <t>High</t>
        </is>
      </c>
      <c r="D7" s="8" t="inlineStr">
        <is>
          <t>Low</t>
        </is>
      </c>
      <c r="E7" s="11" t="n">
        <v>3</v>
      </c>
      <c r="F7" s="8" t="inlineStr">
        <is>
          <t>Tap fallback for candle and gift; progressive enhancement only.</t>
        </is>
      </c>
      <c r="G7" s="8" t="inlineStr"/>
      <c r="H7" s="8" t="inlineStr"/>
      <c r="I7" s="8" t="inlineStr"/>
      <c r="J7" s="8" t="inlineStr">
        <is>
          <t>Open</t>
        </is>
      </c>
      <c r="K7" s="8" t="inlineStr"/>
    </row>
    <row r="8">
      <c r="A8" s="8" t="inlineStr">
        <is>
          <t>R-07</t>
        </is>
      </c>
      <c r="B8" s="8" t="inlineStr">
        <is>
          <t>Too many animations</t>
        </is>
      </c>
      <c r="C8" s="8" t="inlineStr">
        <is>
          <t>Medium</t>
        </is>
      </c>
      <c r="D8" s="8" t="inlineStr">
        <is>
          <t>High</t>
        </is>
      </c>
      <c r="E8" s="11" t="n">
        <v>6</v>
      </c>
      <c r="F8" s="8" t="inlineStr">
        <is>
          <t>Use Motion + CSS only; define motion budget; reduced-motion mode.</t>
        </is>
      </c>
      <c r="G8" s="8" t="inlineStr"/>
      <c r="H8" s="8" t="inlineStr"/>
      <c r="I8" s="8" t="inlineStr"/>
      <c r="J8" s="8" t="inlineStr">
        <is>
          <t>Open</t>
        </is>
      </c>
      <c r="K8" s="8" t="inlineStr"/>
    </row>
    <row r="9">
      <c r="A9" s="8" t="inlineStr">
        <is>
          <t>R-08</t>
        </is>
      </c>
      <c r="B9" s="8" t="inlineStr">
        <is>
          <t>Scope growth near deadline</t>
        </is>
      </c>
      <c r="C9" s="8" t="inlineStr">
        <is>
          <t>High</t>
        </is>
      </c>
      <c r="D9" s="8" t="inlineStr">
        <is>
          <t>High</t>
        </is>
      </c>
      <c r="E9" s="11" t="n">
        <v>9</v>
      </c>
      <c r="F9" s="8" t="inlineStr">
        <is>
          <t>P0 freeze 6 Aug 18:00 IST; defer P2 without destabilizing P0.</t>
        </is>
      </c>
      <c r="G9" s="8" t="inlineStr"/>
      <c r="H9" s="8" t="inlineStr"/>
      <c r="I9" s="8" t="inlineStr"/>
      <c r="J9" s="8" t="inlineStr">
        <is>
          <t>Open</t>
        </is>
      </c>
      <c r="K9" s="8" t="inlineStr"/>
    </row>
    <row r="10">
      <c r="A10" s="8" t="inlineStr">
        <is>
          <t>R-09</t>
        </is>
      </c>
      <c r="B10" s="8" t="inlineStr">
        <is>
          <t>Incorrect personal facts/copy</t>
        </is>
      </c>
      <c r="C10" s="8" t="inlineStr">
        <is>
          <t>Medium</t>
        </is>
      </c>
      <c r="D10" s="8" t="inlineStr">
        <is>
          <t>High</t>
        </is>
      </c>
      <c r="E10" s="11" t="n">
        <v>6</v>
      </c>
      <c r="F10" s="8" t="inlineStr">
        <is>
          <t>Client sign-off matrix for dates, names, answers, letter, captions.</t>
        </is>
      </c>
      <c r="G10" s="8" t="inlineStr"/>
      <c r="H10" s="8" t="inlineStr"/>
      <c r="I10" s="8" t="inlineStr"/>
      <c r="J10" s="8" t="inlineStr">
        <is>
          <t>Open</t>
        </is>
      </c>
      <c r="K10" s="8" t="inlineStr"/>
    </row>
    <row r="11">
      <c r="A11" s="8" t="inlineStr">
        <is>
          <t>R-10</t>
        </is>
      </c>
      <c r="B11" s="8" t="inlineStr">
        <is>
          <t>AI agents overwrite working code</t>
        </is>
      </c>
      <c r="C11" s="8" t="inlineStr">
        <is>
          <t>Medium</t>
        </is>
      </c>
      <c r="D11" s="8" t="inlineStr">
        <is>
          <t>High</t>
        </is>
      </c>
      <c r="E11" s="11" t="n">
        <v>6</v>
      </c>
      <c r="F11" s="8" t="inlineStr">
        <is>
          <t>Small tasks, protected ownership, tests before/after, mandatory handoff.</t>
        </is>
      </c>
      <c r="G11" s="8" t="inlineStr"/>
      <c r="H11" s="8" t="inlineStr"/>
      <c r="I11" s="8" t="inlineStr"/>
      <c r="J11" s="8" t="inlineStr">
        <is>
          <t>Open</t>
        </is>
      </c>
      <c r="K11" s="8" t="inlineStr"/>
    </row>
    <row r="12">
      <c r="A12" s="8" t="inlineStr">
        <is>
          <t>R-11</t>
        </is>
      </c>
      <c r="B12" s="8" t="inlineStr">
        <is>
          <t>Repository contains personal assets</t>
        </is>
      </c>
      <c r="C12" s="8" t="inlineStr">
        <is>
          <t>Medium</t>
        </is>
      </c>
      <c r="D12" s="8" t="inlineStr">
        <is>
          <t>Critical</t>
        </is>
      </c>
      <c r="E12" s="11" t="n">
        <v>8</v>
      </c>
      <c r="F12" s="8" t="inlineStr">
        <is>
          <t>Gitignore media, use private artifact channel, secret scan before push.</t>
        </is>
      </c>
      <c r="G12" s="8" t="inlineStr"/>
      <c r="H12" s="8" t="inlineStr"/>
      <c r="I12" s="8" t="inlineStr"/>
      <c r="J12" s="8" t="inlineStr">
        <is>
          <t>Open</t>
        </is>
      </c>
      <c r="K12" s="8" t="inlineStr"/>
    </row>
    <row r="13">
      <c r="A13" s="8" t="inlineStr">
        <is>
          <t>R-12</t>
        </is>
      </c>
      <c r="B13" s="8" t="inlineStr">
        <is>
          <t>Timezone bug changes countdown</t>
        </is>
      </c>
      <c r="C13" s="8" t="inlineStr">
        <is>
          <t>Medium</t>
        </is>
      </c>
      <c r="D13" s="8" t="inlineStr">
        <is>
          <t>Medium</t>
        </is>
      </c>
      <c r="E13" s="11" t="n">
        <v>4</v>
      </c>
      <c r="F13" s="8" t="inlineStr">
        <is>
          <t>Use explicit Asia/Kolkata and test boundaries around midnight.</t>
        </is>
      </c>
      <c r="G13" s="8" t="inlineStr"/>
      <c r="H13" s="8" t="inlineStr"/>
      <c r="I13" s="8" t="inlineStr"/>
      <c r="J13" s="8" t="inlineStr">
        <is>
          <t>Open</t>
        </is>
      </c>
      <c r="K13" s="8" t="inlineStr"/>
    </row>
  </sheetData>
  <autoFilter ref="A1:K13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2" customWidth="1" min="4" max="4"/>
    <col width="15" customWidth="1" min="5" max="5"/>
    <col width="18" customWidth="1" min="6" max="6"/>
    <col width="14" customWidth="1" min="7" max="7"/>
    <col width="16" customWidth="1" min="8" max="8"/>
    <col width="42" customWidth="1" min="9" max="9"/>
    <col width="42" customWidth="1" min="10" max="10"/>
    <col width="12" customWidth="1" min="11" max="11"/>
    <col width="18" customWidth="1" min="12" max="12"/>
    <col width="20" customWidth="1" min="13" max="13"/>
    <col width="35" customWidth="1" min="14" max="14"/>
    <col width="35" customWidth="1" min="15" max="15"/>
  </cols>
  <sheetData>
    <row r="1" ht="32" customHeight="1">
      <c r="A1" s="7" t="inlineStr">
        <is>
          <t>test_id</t>
        </is>
      </c>
      <c r="B1" s="7" t="inlineStr">
        <is>
          <t>build_id</t>
        </is>
      </c>
      <c r="C1" s="7" t="inlineStr">
        <is>
          <t>deployment_url_private</t>
        </is>
      </c>
      <c r="D1" s="7" t="inlineStr">
        <is>
          <t>device</t>
        </is>
      </c>
      <c r="E1" s="7" t="inlineStr">
        <is>
          <t>os</t>
        </is>
      </c>
      <c r="F1" s="7" t="inlineStr">
        <is>
          <t>browser</t>
        </is>
      </c>
      <c r="G1" s="7" t="inlineStr">
        <is>
          <t>viewport</t>
        </is>
      </c>
      <c r="H1" s="7" t="inlineStr">
        <is>
          <t>network</t>
        </is>
      </c>
      <c r="I1" s="7" t="inlineStr">
        <is>
          <t>expected</t>
        </is>
      </c>
      <c r="J1" s="7" t="inlineStr">
        <is>
          <t>observed</t>
        </is>
      </c>
      <c r="K1" s="7" t="inlineStr">
        <is>
          <t>result</t>
        </is>
      </c>
      <c r="L1" s="7" t="inlineStr">
        <is>
          <t>tester</t>
        </is>
      </c>
      <c r="M1" s="7" t="inlineStr">
        <is>
          <t>tested_at</t>
        </is>
      </c>
      <c r="N1" s="7" t="inlineStr">
        <is>
          <t>evidence_location</t>
        </is>
      </c>
      <c r="O1" s="7" t="inlineStr">
        <is>
          <t>notes</t>
        </is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22" customWidth="1" min="3" max="3"/>
    <col width="16" customWidth="1" min="4" max="4"/>
    <col width="42" customWidth="1" min="5" max="5"/>
    <col width="36" customWidth="1" min="6" max="6"/>
  </cols>
  <sheetData>
    <row r="1" ht="32" customHeight="1">
      <c r="A1" s="7" t="inlineStr">
        <is>
          <t>Gate</t>
        </is>
      </c>
      <c r="B1" s="7" t="inlineStr">
        <is>
          <t>Checklist Item</t>
        </is>
      </c>
      <c r="C1" s="7" t="inlineStr">
        <is>
          <t>Owner</t>
        </is>
      </c>
      <c r="D1" s="7" t="inlineStr">
        <is>
          <t>Status</t>
        </is>
      </c>
      <c r="E1" s="7" t="inlineStr">
        <is>
          <t>Evidence</t>
        </is>
      </c>
      <c r="F1" s="7" t="inlineStr">
        <is>
          <t>Notes</t>
        </is>
      </c>
    </row>
    <row r="2">
      <c r="A2" s="8" t="inlineStr">
        <is>
          <t>Content</t>
        </is>
      </c>
      <c r="B2" s="8" t="inlineStr">
        <is>
          <t>All personal facts and exact copy approved</t>
        </is>
      </c>
      <c r="C2" s="8" t="inlineStr">
        <is>
          <t>Client / Owner</t>
        </is>
      </c>
      <c r="D2" s="8" t="inlineStr">
        <is>
          <t>Not Started</t>
        </is>
      </c>
      <c r="E2" s="8" t="inlineStr"/>
      <c r="F2" s="8" t="inlineStr"/>
    </row>
    <row r="3">
      <c r="A3" s="8" t="inlineStr">
        <is>
          <t>Content</t>
        </is>
      </c>
      <c r="B3" s="8" t="inlineStr">
        <is>
          <t>All media approved, ordered, captioned, and rights-confirmed</t>
        </is>
      </c>
      <c r="C3" s="8" t="inlineStr">
        <is>
          <t>Client / Media</t>
        </is>
      </c>
      <c r="D3" s="8" t="inlineStr">
        <is>
          <t>Not Started</t>
        </is>
      </c>
      <c r="E3" s="8" t="inlineStr"/>
      <c r="F3" s="8" t="inlineStr"/>
    </row>
    <row r="4">
      <c r="A4" s="8" t="inlineStr">
        <is>
          <t>Engineering</t>
        </is>
      </c>
      <c r="B4" s="8" t="inlineStr">
        <is>
          <t>Lint, typecheck, tests, content validation, production build pass</t>
        </is>
      </c>
      <c r="C4" s="8" t="inlineStr">
        <is>
          <t>Orchestrator</t>
        </is>
      </c>
      <c r="D4" s="8" t="inlineStr">
        <is>
          <t>Not Started</t>
        </is>
      </c>
      <c r="E4" s="8" t="inlineStr"/>
      <c r="F4" s="8" t="inlineStr"/>
    </row>
    <row r="5">
      <c r="A5" s="8" t="inlineStr">
        <is>
          <t>Engineering</t>
        </is>
      </c>
      <c r="B5" s="8" t="inlineStr">
        <is>
          <t>P0 complete; unstable optional features removed</t>
        </is>
      </c>
      <c r="C5" s="8" t="inlineStr">
        <is>
          <t>Orchestrator</t>
        </is>
      </c>
      <c r="D5" s="8" t="inlineStr">
        <is>
          <t>Not Started</t>
        </is>
      </c>
      <c r="E5" s="8" t="inlineStr"/>
      <c r="F5" s="8" t="inlineStr"/>
    </row>
    <row r="6">
      <c r="A6" s="8" t="inlineStr">
        <is>
          <t>Privacy</t>
        </is>
      </c>
      <c r="B6" s="8" t="inlineStr">
        <is>
          <t>Unauthorized routes/assets/previews blocked</t>
        </is>
      </c>
      <c r="C6" s="8" t="inlineStr">
        <is>
          <t>Security</t>
        </is>
      </c>
      <c r="D6" s="8" t="inlineStr">
        <is>
          <t>Not Started</t>
        </is>
      </c>
      <c r="E6" s="8" t="inlineStr"/>
      <c r="F6" s="8" t="inlineStr"/>
    </row>
    <row r="7">
      <c r="A7" s="8" t="inlineStr">
        <is>
          <t>Privacy</t>
        </is>
      </c>
      <c r="B7" s="8" t="inlineStr">
        <is>
          <t>Generic metadata, noindex, secrets/logs/repository audited</t>
        </is>
      </c>
      <c r="C7" s="8" t="inlineStr">
        <is>
          <t>Security</t>
        </is>
      </c>
      <c r="D7" s="8" t="inlineStr">
        <is>
          <t>Not Started</t>
        </is>
      </c>
      <c r="E7" s="8" t="inlineStr"/>
      <c r="F7" s="8" t="inlineStr"/>
    </row>
    <row r="8">
      <c r="A8" s="8" t="inlineStr">
        <is>
          <t>Experience</t>
        </is>
      </c>
      <c r="B8" s="8" t="inlineStr">
        <is>
          <t>Real iPhone Safari and Android Chrome complete journey</t>
        </is>
      </c>
      <c r="C8" s="8" t="inlineStr">
        <is>
          <t>QA</t>
        </is>
      </c>
      <c r="D8" s="8" t="inlineStr">
        <is>
          <t>Not Started</t>
        </is>
      </c>
      <c r="E8" s="8" t="inlineStr"/>
      <c r="F8" s="8" t="inlineStr"/>
    </row>
    <row r="9">
      <c r="A9" s="8" t="inlineStr">
        <is>
          <t>Experience</t>
        </is>
      </c>
      <c r="B9" s="8" t="inlineStr">
        <is>
          <t>Reduced motion, sound off, error recovery, safe areas pass</t>
        </is>
      </c>
      <c r="C9" s="8" t="inlineStr">
        <is>
          <t>QA</t>
        </is>
      </c>
      <c r="D9" s="8" t="inlineStr">
        <is>
          <t>Not Started</t>
        </is>
      </c>
      <c r="E9" s="8" t="inlineStr"/>
      <c r="F9" s="8" t="inlineStr"/>
    </row>
    <row r="10">
      <c r="A10" s="8" t="inlineStr">
        <is>
          <t>Release</t>
        </is>
      </c>
      <c r="B10" s="8" t="inlineStr">
        <is>
          <t>Client UAT approved exact deployment</t>
        </is>
      </c>
      <c r="C10" s="8" t="inlineStr">
        <is>
          <t>Client</t>
        </is>
      </c>
      <c r="D10" s="8" t="inlineStr">
        <is>
          <t>Not Started</t>
        </is>
      </c>
      <c r="E10" s="8" t="inlineStr"/>
      <c r="F10" s="8" t="inlineStr"/>
    </row>
    <row r="11">
      <c r="A11" s="8" t="inlineStr">
        <is>
          <t>Release</t>
        </is>
      </c>
      <c r="B11" s="8" t="inlineStr">
        <is>
          <t>Production domain/TLS and clean-device verification pass</t>
        </is>
      </c>
      <c r="C11" s="8" t="inlineStr">
        <is>
          <t>Release Owner</t>
        </is>
      </c>
      <c r="D11" s="8" t="inlineStr">
        <is>
          <t>Not Started</t>
        </is>
      </c>
      <c r="E11" s="8" t="inlineStr"/>
      <c r="F11" s="8" t="inlineStr"/>
    </row>
    <row r="12">
      <c r="A12" s="8" t="inlineStr">
        <is>
          <t>Release</t>
        </is>
      </c>
      <c r="B12" s="8" t="inlineStr">
        <is>
          <t>Rollback rehearsed and owner available</t>
        </is>
      </c>
      <c r="C12" s="8" t="inlineStr">
        <is>
          <t>Release Owner</t>
        </is>
      </c>
      <c r="D12" s="8" t="inlineStr">
        <is>
          <t>Not Started</t>
        </is>
      </c>
      <c r="E12" s="8" t="inlineStr"/>
      <c r="F12" s="8" t="inlineStr"/>
    </row>
    <row r="13">
      <c r="A13" s="8" t="inlineStr">
        <is>
          <t>Lifecycle</t>
        </is>
      </c>
      <c r="B13" s="8" t="inlineStr">
        <is>
          <t>Retirement date/owner scheduled</t>
        </is>
      </c>
      <c r="C13" s="8" t="inlineStr">
        <is>
          <t>Project Owner</t>
        </is>
      </c>
      <c r="D13" s="8" t="inlineStr">
        <is>
          <t>Not Started</t>
        </is>
      </c>
      <c r="E13" s="8" t="inlineStr"/>
      <c r="F13" s="8" t="inlineStr"/>
    </row>
  </sheetData>
  <autoFilter ref="A1:F13"/>
  <dataValidations count="1">
    <dataValidation sqref="D2:D63" showDropDown="0" showInputMessage="0" showErrorMessage="0" allowBlank="0" type="list">
      <formula1>"Not Started,In Progress,Passed,Blocked,Waived"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52" customWidth="1" min="3" max="3"/>
    <col width="24" customWidth="1" min="4" max="4"/>
    <col width="16" customWidth="1" min="5" max="5"/>
    <col width="42" customWidth="1" min="6" max="6"/>
  </cols>
  <sheetData>
    <row r="1" ht="32" customHeight="1">
      <c r="A1" s="7" t="inlineStr">
        <is>
          <t>Date</t>
        </is>
      </c>
      <c r="B1" s="7" t="inlineStr">
        <is>
          <t>Focus</t>
        </is>
      </c>
      <c r="C1" s="7" t="inlineStr">
        <is>
          <t>Planned Exit Criteria</t>
        </is>
      </c>
      <c r="D1" s="7" t="inlineStr">
        <is>
          <t>Owner</t>
        </is>
      </c>
      <c r="E1" s="7" t="inlineStr">
        <is>
          <t>Status</t>
        </is>
      </c>
      <c r="F1" s="7" t="inlineStr">
        <is>
          <t>Blockers / Notes</t>
        </is>
      </c>
    </row>
    <row r="2">
      <c r="A2" s="12" t="n">
        <v>46236</v>
      </c>
      <c r="B2" s="8" t="inlineStr">
        <is>
          <t>Requirements, repository, CI, client input request</t>
        </is>
      </c>
      <c r="C2" s="8" t="inlineStr">
        <is>
          <t>Project builds; inputs requested</t>
        </is>
      </c>
      <c r="D2" s="8" t="inlineStr">
        <is>
          <t>Owner / Orchestrator</t>
        </is>
      </c>
      <c r="E2" s="8" t="inlineStr">
        <is>
          <t>Not Started</t>
        </is>
      </c>
      <c r="F2" s="8" t="inlineStr"/>
    </row>
    <row r="3">
      <c r="A3" s="12" t="n">
        <v>46237</v>
      </c>
      <c r="B3" s="8" t="inlineStr">
        <is>
          <t>Foundation, access/media architecture, interfaces</t>
        </is>
      </c>
      <c r="C3" s="8" t="inlineStr">
        <is>
          <t>Interfaces and protection option frozen</t>
        </is>
      </c>
      <c r="D3" s="8" t="inlineStr">
        <is>
          <t>Engineering / Security</t>
        </is>
      </c>
      <c r="E3" s="8" t="inlineStr">
        <is>
          <t>Not Started</t>
        </is>
      </c>
      <c r="F3" s="8" t="inlineStr"/>
    </row>
    <row r="4">
      <c r="A4" s="12" t="n">
        <v>46238</v>
      </c>
      <c r="B4" s="8" t="inlineStr">
        <is>
          <t>P0 story spine and media pipeline</t>
        </is>
      </c>
      <c r="C4" s="8" t="inlineStr">
        <is>
          <t>Synthetic core journey works</t>
        </is>
      </c>
      <c r="D4" s="8" t="inlineStr">
        <is>
          <t>Feature / Media</t>
        </is>
      </c>
      <c r="E4" s="8" t="inlineStr">
        <is>
          <t>Not Started</t>
        </is>
      </c>
      <c r="F4" s="8" t="inlineStr"/>
    </row>
    <row r="5">
      <c r="A5" s="12" t="n">
        <v>46239</v>
      </c>
      <c r="B5" s="8" t="inlineStr">
        <is>
          <t>Gallery, video, voice, quiz, letter, finale</t>
        </is>
      </c>
      <c r="C5" s="8" t="inlineStr">
        <is>
          <t>P0 integrated; media cutoff</t>
        </is>
      </c>
      <c r="D5" s="8" t="inlineStr">
        <is>
          <t>Feature / Content</t>
        </is>
      </c>
      <c r="E5" s="8" t="inlineStr">
        <is>
          <t>Not Started</t>
        </is>
      </c>
      <c r="F5" s="8" t="inlineStr"/>
    </row>
    <row r="6">
      <c r="A6" s="12" t="n">
        <v>46240</v>
      </c>
      <c r="B6" s="8" t="inlineStr">
        <is>
          <t>Content, resilience, accessibility, performance</t>
        </is>
      </c>
      <c r="C6" s="8" t="inlineStr">
        <is>
          <t>Protected preview; P0 freeze 18:00</t>
        </is>
      </c>
      <c r="D6" s="8" t="inlineStr">
        <is>
          <t>All</t>
        </is>
      </c>
      <c r="E6" s="8" t="inlineStr">
        <is>
          <t>Not Started</t>
        </is>
      </c>
      <c r="F6" s="8" t="inlineStr"/>
    </row>
    <row r="7">
      <c r="A7" s="12" t="n">
        <v>46241</v>
      </c>
      <c r="B7" s="8" t="inlineStr">
        <is>
          <t>Real-device UAT, production, DNS, rollback</t>
        </is>
      </c>
      <c r="C7" s="8" t="inlineStr">
        <is>
          <t>Written approval; production verified</t>
        </is>
      </c>
      <c r="D7" s="8" t="inlineStr">
        <is>
          <t>QA / Release</t>
        </is>
      </c>
      <c r="E7" s="8" t="inlineStr">
        <is>
          <t>Not Started</t>
        </is>
      </c>
      <c r="F7" s="8" t="inlineStr"/>
    </row>
    <row r="8">
      <c r="A8" s="12" t="n">
        <v>46242</v>
      </c>
      <c r="B8" s="8" t="inlineStr">
        <is>
          <t>Monitoring only</t>
        </is>
      </c>
      <c r="C8" s="8" t="inlineStr">
        <is>
          <t>Experience available; rollback ready</t>
        </is>
      </c>
      <c r="D8" s="8" t="inlineStr">
        <is>
          <t>Owner / Release</t>
        </is>
      </c>
      <c r="E8" s="8" t="inlineStr">
        <is>
          <t>Not Started</t>
        </is>
      </c>
      <c r="F8" s="8" t="inlineStr"/>
    </row>
  </sheetData>
  <autoFilter ref="A1:F8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5" customWidth="1" min="4" max="4"/>
    <col width="36" customWidth="1" min="5" max="5"/>
    <col width="42" customWidth="1" min="6" max="6"/>
    <col width="45" customWidth="1" min="7" max="7"/>
    <col width="24" customWidth="1" min="8" max="8"/>
    <col width="24" customWidth="1" min="9" max="9"/>
  </cols>
  <sheetData>
    <row r="1" ht="32" customHeight="1">
      <c r="A1" s="7" t="inlineStr">
        <is>
          <t>Decision ID</t>
        </is>
      </c>
      <c r="B1" s="7" t="inlineStr">
        <is>
          <t>Date</t>
        </is>
      </c>
      <c r="C1" s="7" t="inlineStr">
        <is>
          <t>Owner</t>
        </is>
      </c>
      <c r="D1" s="7" t="inlineStr">
        <is>
          <t>Context</t>
        </is>
      </c>
      <c r="E1" s="7" t="inlineStr">
        <is>
          <t>Options</t>
        </is>
      </c>
      <c r="F1" s="7" t="inlineStr">
        <is>
          <t>Decision</t>
        </is>
      </c>
      <c r="G1" s="7" t="inlineStr">
        <is>
          <t>Consequences</t>
        </is>
      </c>
      <c r="H1" s="7" t="inlineStr">
        <is>
          <t>Requirement IDs</t>
        </is>
      </c>
      <c r="I1" s="7" t="inlineStr">
        <is>
          <t>Review / Expiry</t>
        </is>
      </c>
    </row>
    <row r="2">
      <c r="A2" s="8" t="inlineStr">
        <is>
          <t>D-01</t>
        </is>
      </c>
      <c r="B2" s="13" t="n">
        <v>46236</v>
      </c>
      <c r="C2" s="8" t="inlineStr">
        <is>
          <t>Architecture</t>
        </is>
      </c>
      <c r="D2" s="8" t="inlineStr">
        <is>
          <t>Story navigation</t>
        </is>
      </c>
      <c r="E2" s="8" t="inlineStr">
        <is>
          <t>Route per screen | State-driven shell</t>
        </is>
      </c>
      <c r="F2" s="8" t="inlineStr">
        <is>
          <t>State-driven shell</t>
        </is>
      </c>
      <c r="G2" s="8" t="inlineStr">
        <is>
          <t>Central audio, privacy, transitions</t>
        </is>
      </c>
      <c r="H2" s="8" t="inlineStr">
        <is>
          <t>FR-005,NFR-008</t>
        </is>
      </c>
      <c r="I2" s="8" t="inlineStr"/>
    </row>
    <row r="3">
      <c r="A3" s="8" t="inlineStr">
        <is>
          <t>D-02</t>
        </is>
      </c>
      <c r="B3" s="13" t="n">
        <v>46236</v>
      </c>
      <c r="C3" s="8" t="inlineStr">
        <is>
          <t>Architecture</t>
        </is>
      </c>
      <c r="D3" s="8" t="inlineStr">
        <is>
          <t>Animation stack</t>
        </is>
      </c>
      <c r="E3" s="8" t="inlineStr">
        <is>
          <t>Motion only | Motion + GSAP</t>
        </is>
      </c>
      <c r="F3" s="8" t="inlineStr">
        <is>
          <t>Motion + CSS only</t>
        </is>
      </c>
      <c r="G3" s="8" t="inlineStr">
        <is>
          <t>Lower bundle and complexity</t>
        </is>
      </c>
      <c r="H3" s="8" t="inlineStr">
        <is>
          <t>NFR-001,NFR-011</t>
        </is>
      </c>
      <c r="I3" s="8" t="inlineStr"/>
    </row>
    <row r="4">
      <c r="A4" s="8" t="inlineStr">
        <is>
          <t>D-03</t>
        </is>
      </c>
      <c r="B4" s="13" t="n">
        <v>46236</v>
      </c>
      <c r="C4" s="8" t="inlineStr">
        <is>
          <t>Security</t>
        </is>
      </c>
      <c r="D4" s="8" t="inlineStr">
        <is>
          <t>Narrative answer security</t>
        </is>
      </c>
      <c r="E4" s="8" t="inlineStr">
        <is>
          <t>Client-only | Server access</t>
        </is>
      </c>
      <c r="F4" s="8" t="inlineStr">
        <is>
          <t>Server/managed access; answer narrative</t>
        </is>
      </c>
      <c r="G4" s="8" t="inlineStr">
        <is>
          <t>Protects content and assets</t>
        </is>
      </c>
      <c r="H4" s="8" t="inlineStr">
        <is>
          <t>FR-001,NFR-004,NFR-005</t>
        </is>
      </c>
      <c r="I4" s="8" t="inlineStr">
        <is>
          <t>Finalize provider option</t>
        </is>
      </c>
    </row>
    <row r="5">
      <c r="A5" s="8" t="inlineStr">
        <is>
          <t>D-04</t>
        </is>
      </c>
      <c r="B5" s="13" t="n">
        <v>46236</v>
      </c>
      <c r="C5" s="8" t="inlineStr">
        <is>
          <t>Product</t>
        </is>
      </c>
      <c r="D5" s="8" t="inlineStr">
        <is>
          <t>Content storage</t>
        </is>
      </c>
      <c r="E5" s="8" t="inlineStr">
        <is>
          <t>CMS/DB | Typed files</t>
        </is>
      </c>
      <c r="F5" s="8" t="inlineStr">
        <is>
          <t>Typed file-based content</t>
        </is>
      </c>
      <c r="G5" s="8" t="inlineStr">
        <is>
          <t>Fast, auditable fixed-scope delivery</t>
        </is>
      </c>
      <c r="H5" s="8" t="inlineStr">
        <is>
          <t>FR-019,NFR-008</t>
        </is>
      </c>
      <c r="I5" s="8" t="inlineStr"/>
    </row>
  </sheetData>
  <autoFilter ref="A1:I5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2" customWidth="1" min="3" max="3"/>
    <col width="16" customWidth="1" min="4" max="4"/>
  </cols>
  <sheetData>
    <row r="1" ht="32" customHeight="1">
      <c r="A1" s="7" t="inlineStr">
        <is>
          <t>Topic</t>
        </is>
      </c>
      <c r="B1" s="7" t="inlineStr">
        <is>
          <t>Official URL</t>
        </is>
      </c>
      <c r="C1" s="7" t="inlineStr">
        <is>
          <t>Why it matters</t>
        </is>
      </c>
      <c r="D1" s="7" t="inlineStr">
        <is>
          <t>Checked date</t>
        </is>
      </c>
    </row>
    <row r="2">
      <c r="A2" s="8" t="inlineStr">
        <is>
          <t>Next.js releases/security</t>
        </is>
      </c>
      <c r="B2" s="14" t="inlineStr">
        <is>
          <t>https://nextjs.org/blog</t>
        </is>
      </c>
      <c r="C2" s="8" t="inlineStr">
        <is>
          <t>Select supported patched framework version</t>
        </is>
      </c>
      <c r="D2" s="13" t="n">
        <v>46236</v>
      </c>
    </row>
    <row r="3">
      <c r="A3" s="8" t="inlineStr">
        <is>
          <t>React versions</t>
        </is>
      </c>
      <c r="B3" s="14" t="inlineStr">
        <is>
          <t>https://react.dev/versions</t>
        </is>
      </c>
      <c r="C3" s="8" t="inlineStr">
        <is>
          <t>Confirm supported React line</t>
        </is>
      </c>
      <c r="D3" s="13" t="n">
        <v>46236</v>
      </c>
    </row>
    <row r="4">
      <c r="A4" s="8" t="inlineStr">
        <is>
          <t>Node.js releases</t>
        </is>
      </c>
      <c r="B4" s="14" t="inlineStr">
        <is>
          <t>https://nodejs.org/en/about/previous-releases</t>
        </is>
      </c>
      <c r="C4" s="8" t="inlineStr">
        <is>
          <t>Use production LTS runtime</t>
        </is>
      </c>
      <c r="D4" s="13" t="n">
        <v>46236</v>
      </c>
    </row>
    <row r="5">
      <c r="A5" s="8" t="inlineStr">
        <is>
          <t>Tailwind releases</t>
        </is>
      </c>
      <c r="B5" s="14" t="inlineStr">
        <is>
          <t>https://tailwindcss.com/blog</t>
        </is>
      </c>
      <c r="C5" s="8" t="inlineStr">
        <is>
          <t>Confirm current styling tool version</t>
        </is>
      </c>
      <c r="D5" s="13" t="n">
        <v>46236</v>
      </c>
    </row>
    <row r="6">
      <c r="A6" s="8" t="inlineStr">
        <is>
          <t>WCAG 2.2</t>
        </is>
      </c>
      <c r="B6" s="14" t="inlineStr">
        <is>
          <t>https://www.w3.org/TR/WCAG22/</t>
        </is>
      </c>
      <c r="C6" s="8" t="inlineStr">
        <is>
          <t>Accessibility target</t>
        </is>
      </c>
      <c r="D6" s="13" t="n">
        <v>46236</v>
      </c>
    </row>
    <row r="7">
      <c r="A7" s="8" t="inlineStr">
        <is>
          <t>Vercel deployment protection</t>
        </is>
      </c>
      <c r="B7" s="14" t="inlineStr">
        <is>
          <t>https://vercel.com/docs/security/deployment-protection</t>
        </is>
      </c>
      <c r="C7" s="8" t="inlineStr">
        <is>
          <t>Evaluate access protection plan/features</t>
        </is>
      </c>
      <c r="D7" s="13" t="n">
        <v>46236</v>
      </c>
    </row>
  </sheetData>
  <autoFilter ref="A1:D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2026-08-02T07:49:35Z</dcterms:created>
  <dcterms:modified xmlns:dcterms="http://purl.org/dc/terms/" xmlns:xsi="http://www.w3.org/2001/XMLSchema-instance" xsi:type="dcterms:W3CDTF">2026-08-02T07:49:35Z</dcterms:modified>
</cp:coreProperties>
</file>